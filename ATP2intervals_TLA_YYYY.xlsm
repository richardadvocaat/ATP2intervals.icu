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webextensions/webextension1.xml" ContentType="application/vnd.ms-office.webextension+xml"/>
  <Override PartName="/xl/drawings/drawing2.xml" ContentType="application/vnd.openxmlformats-officedocument.drawing+xml"/>
  <Override PartName="/xl/webextensions/webextension2.xml" ContentType="application/vnd.ms-office.webextension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RAA\"/>
    </mc:Choice>
  </mc:AlternateContent>
  <xr:revisionPtr revIDLastSave="0" documentId="13_ncr:1_{5CCE2D9C-189E-4527-B5C1-935400FBB5B2}" xr6:coauthVersionLast="47" xr6:coauthVersionMax="47" xr10:uidLastSave="{00000000-0000-0000-0000-000000000000}"/>
  <bookViews>
    <workbookView xWindow="-110" yWindow="-110" windowWidth="25820" windowHeight="15500" tabRatio="598" activeTab="3" xr2:uid="{884557D0-AFB0-40F0-AD8C-41969B0104AC}"/>
  </bookViews>
  <sheets>
    <sheet name="User_Data" sheetId="24" r:id="rId1"/>
    <sheet name="Race-calendar" sheetId="19" r:id="rId2"/>
    <sheet name="ATP_Conditions" sheetId="23" r:id="rId3"/>
    <sheet name="ATP_fill" sheetId="20" r:id="rId4"/>
    <sheet name="ATP_Data" sheetId="26" r:id="rId5"/>
    <sheet name="WLC" sheetId="28" r:id="rId6"/>
    <sheet name="WTL" sheetId="27" r:id="rId7"/>
    <sheet name="Lists" sheetId="25" r:id="rId8"/>
  </sheets>
  <functionGroups builtInGroupCount="19"/>
  <definedNames>
    <definedName name="_xlnm._FilterDatabase" localSheetId="1" hidden="1">'Race-calendar'!$B$2:$F$34</definedName>
    <definedName name="_xleta.CELL" hidden="1" xlm="1">#NAME?</definedName>
    <definedName name="_xleta.INDEX" hidden="1" xlm="1">#NAME?</definedName>
    <definedName name="_xleta.MOD" hidden="1" xlm="1">#NAME?</definedName>
    <definedName name="_xleta.NA" hidden="1" xlm="1">#NAME?</definedName>
    <definedName name="_xleta.ROUNDUP" hidden="1" xlm="1">#NAME?</definedName>
    <definedName name="_xleta.SUM" hidden="1" xlm="1">#NAME?</definedName>
    <definedName name="_xleta.T" hidden="1" xlm="1">#NAME?</definedName>
    <definedName name="_xleta.TYPE" hidden="1" xlm="1">#NAME?</definedName>
    <definedName name="API_KEY">#REF!</definedName>
    <definedName name="AthleteID">#REF!</definedName>
    <definedName name="Hours">#REF!</definedName>
    <definedName name="HourTSS">#REF!</definedName>
    <definedName name="Liquids">#REF!</definedName>
    <definedName name="Mesocycle">#REF!</definedName>
    <definedName name="Period2">#REF!</definedName>
    <definedName name="Race">#REF!</definedName>
    <definedName name="ShortMonth">#REF!</definedName>
    <definedName name="Sport1">ATP_fill!$U$4</definedName>
    <definedName name="Temperature">#REF!</definedName>
    <definedName name="TempUOM">#REF!</definedName>
    <definedName name="TSS">#REF!</definedName>
    <definedName name="UnitMeasure">#REF!</definedName>
    <definedName name="WeekDayShort">#REF!</definedName>
    <definedName name="WorkoutTyp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" i="26" l="1"/>
  <c r="O3" i="26"/>
  <c r="P3" i="26"/>
  <c r="Q3" i="26"/>
  <c r="R3" i="26"/>
  <c r="S3" i="26"/>
  <c r="T3" i="26"/>
  <c r="U3" i="26"/>
  <c r="N4" i="26"/>
  <c r="O4" i="26"/>
  <c r="P4" i="26"/>
  <c r="Q4" i="26"/>
  <c r="R4" i="26"/>
  <c r="S4" i="26"/>
  <c r="T4" i="26"/>
  <c r="U4" i="26"/>
  <c r="N5" i="26"/>
  <c r="O5" i="26"/>
  <c r="P5" i="26"/>
  <c r="Q5" i="26"/>
  <c r="R5" i="26"/>
  <c r="S5" i="26"/>
  <c r="T5" i="26"/>
  <c r="U5" i="26"/>
  <c r="N6" i="26"/>
  <c r="O6" i="26"/>
  <c r="P6" i="26"/>
  <c r="Q6" i="26"/>
  <c r="R6" i="26"/>
  <c r="S6" i="26"/>
  <c r="T6" i="26"/>
  <c r="U6" i="26"/>
  <c r="N7" i="26"/>
  <c r="O7" i="26"/>
  <c r="P7" i="26"/>
  <c r="Q7" i="26"/>
  <c r="R7" i="26"/>
  <c r="S7" i="26"/>
  <c r="T7" i="26"/>
  <c r="U7" i="26"/>
  <c r="N8" i="26"/>
  <c r="O8" i="26"/>
  <c r="P8" i="26"/>
  <c r="Q8" i="26"/>
  <c r="R8" i="26"/>
  <c r="S8" i="26"/>
  <c r="T8" i="26"/>
  <c r="U8" i="26"/>
  <c r="N9" i="26"/>
  <c r="O9" i="26"/>
  <c r="P9" i="26"/>
  <c r="Q9" i="26"/>
  <c r="R9" i="26"/>
  <c r="S9" i="26"/>
  <c r="T9" i="26"/>
  <c r="U9" i="26"/>
  <c r="N10" i="26"/>
  <c r="O10" i="26"/>
  <c r="P10" i="26"/>
  <c r="Q10" i="26"/>
  <c r="R10" i="26"/>
  <c r="S10" i="26"/>
  <c r="T10" i="26"/>
  <c r="U10" i="26"/>
  <c r="N11" i="26"/>
  <c r="O11" i="26"/>
  <c r="P11" i="26"/>
  <c r="Q11" i="26"/>
  <c r="R11" i="26"/>
  <c r="S11" i="26"/>
  <c r="T11" i="26"/>
  <c r="U11" i="26"/>
  <c r="N12" i="26"/>
  <c r="O12" i="26"/>
  <c r="P12" i="26"/>
  <c r="Q12" i="26"/>
  <c r="R12" i="26"/>
  <c r="S12" i="26"/>
  <c r="T12" i="26"/>
  <c r="U12" i="26"/>
  <c r="N13" i="26"/>
  <c r="O13" i="26"/>
  <c r="P13" i="26"/>
  <c r="Q13" i="26"/>
  <c r="R13" i="26"/>
  <c r="S13" i="26"/>
  <c r="T13" i="26"/>
  <c r="U13" i="26"/>
  <c r="N14" i="26"/>
  <c r="O14" i="26"/>
  <c r="P14" i="26"/>
  <c r="Q14" i="26"/>
  <c r="R14" i="26"/>
  <c r="S14" i="26"/>
  <c r="T14" i="26"/>
  <c r="U14" i="26"/>
  <c r="N15" i="26"/>
  <c r="O15" i="26"/>
  <c r="P15" i="26"/>
  <c r="Q15" i="26"/>
  <c r="R15" i="26"/>
  <c r="S15" i="26"/>
  <c r="T15" i="26"/>
  <c r="U15" i="26"/>
  <c r="N16" i="26"/>
  <c r="O16" i="26"/>
  <c r="P16" i="26"/>
  <c r="Q16" i="26"/>
  <c r="R16" i="26"/>
  <c r="S16" i="26"/>
  <c r="T16" i="26"/>
  <c r="U16" i="26"/>
  <c r="N17" i="26"/>
  <c r="O17" i="26"/>
  <c r="P17" i="26"/>
  <c r="Q17" i="26"/>
  <c r="R17" i="26"/>
  <c r="S17" i="26"/>
  <c r="T17" i="26"/>
  <c r="U17" i="26"/>
  <c r="N18" i="26"/>
  <c r="O18" i="26"/>
  <c r="P18" i="26"/>
  <c r="Q18" i="26"/>
  <c r="R18" i="26"/>
  <c r="S18" i="26"/>
  <c r="T18" i="26"/>
  <c r="U18" i="26"/>
  <c r="N19" i="26"/>
  <c r="O19" i="26"/>
  <c r="P19" i="26"/>
  <c r="Q19" i="26"/>
  <c r="R19" i="26"/>
  <c r="S19" i="26"/>
  <c r="T19" i="26"/>
  <c r="U19" i="26"/>
  <c r="N20" i="26"/>
  <c r="O20" i="26"/>
  <c r="P20" i="26"/>
  <c r="Q20" i="26"/>
  <c r="R20" i="26"/>
  <c r="S20" i="26"/>
  <c r="T20" i="26"/>
  <c r="U20" i="26"/>
  <c r="N21" i="26"/>
  <c r="O21" i="26"/>
  <c r="P21" i="26"/>
  <c r="Q21" i="26"/>
  <c r="R21" i="26"/>
  <c r="S21" i="26"/>
  <c r="T21" i="26"/>
  <c r="U21" i="26"/>
  <c r="N22" i="26"/>
  <c r="O22" i="26"/>
  <c r="P22" i="26"/>
  <c r="Q22" i="26"/>
  <c r="R22" i="26"/>
  <c r="S22" i="26"/>
  <c r="T22" i="26"/>
  <c r="U22" i="26"/>
  <c r="N23" i="26"/>
  <c r="O23" i="26"/>
  <c r="P23" i="26"/>
  <c r="Q23" i="26"/>
  <c r="R23" i="26"/>
  <c r="S23" i="26"/>
  <c r="T23" i="26"/>
  <c r="U23" i="26"/>
  <c r="N24" i="26"/>
  <c r="O24" i="26"/>
  <c r="P24" i="26"/>
  <c r="Q24" i="26"/>
  <c r="R24" i="26"/>
  <c r="S24" i="26"/>
  <c r="T24" i="26"/>
  <c r="U24" i="26"/>
  <c r="N25" i="26"/>
  <c r="O25" i="26"/>
  <c r="P25" i="26"/>
  <c r="Q25" i="26"/>
  <c r="R25" i="26"/>
  <c r="S25" i="26"/>
  <c r="T25" i="26"/>
  <c r="U25" i="26"/>
  <c r="N26" i="26"/>
  <c r="O26" i="26"/>
  <c r="P26" i="26"/>
  <c r="Q26" i="26"/>
  <c r="R26" i="26"/>
  <c r="S26" i="26"/>
  <c r="T26" i="26"/>
  <c r="U26" i="26"/>
  <c r="N27" i="26"/>
  <c r="O27" i="26"/>
  <c r="P27" i="26"/>
  <c r="Q27" i="26"/>
  <c r="R27" i="26"/>
  <c r="S27" i="26"/>
  <c r="T27" i="26"/>
  <c r="U27" i="26"/>
  <c r="N28" i="26"/>
  <c r="O28" i="26"/>
  <c r="P28" i="26"/>
  <c r="Q28" i="26"/>
  <c r="R28" i="26"/>
  <c r="S28" i="26"/>
  <c r="T28" i="26"/>
  <c r="U28" i="26"/>
  <c r="N29" i="26"/>
  <c r="O29" i="26"/>
  <c r="P29" i="26"/>
  <c r="Q29" i="26"/>
  <c r="R29" i="26"/>
  <c r="S29" i="26"/>
  <c r="T29" i="26"/>
  <c r="U29" i="26"/>
  <c r="N30" i="26"/>
  <c r="O30" i="26"/>
  <c r="P30" i="26"/>
  <c r="Q30" i="26"/>
  <c r="R30" i="26"/>
  <c r="S30" i="26"/>
  <c r="T30" i="26"/>
  <c r="U30" i="26"/>
  <c r="N31" i="26"/>
  <c r="O31" i="26"/>
  <c r="P31" i="26"/>
  <c r="Q31" i="26"/>
  <c r="R31" i="26"/>
  <c r="S31" i="26"/>
  <c r="T31" i="26"/>
  <c r="U31" i="26"/>
  <c r="N32" i="26"/>
  <c r="O32" i="26"/>
  <c r="P32" i="26"/>
  <c r="Q32" i="26"/>
  <c r="R32" i="26"/>
  <c r="S32" i="26"/>
  <c r="T32" i="26"/>
  <c r="U32" i="26"/>
  <c r="N33" i="26"/>
  <c r="O33" i="26"/>
  <c r="P33" i="26"/>
  <c r="Q33" i="26"/>
  <c r="R33" i="26"/>
  <c r="S33" i="26"/>
  <c r="T33" i="26"/>
  <c r="U33" i="26"/>
  <c r="N34" i="26"/>
  <c r="O34" i="26"/>
  <c r="P34" i="26"/>
  <c r="Q34" i="26"/>
  <c r="R34" i="26"/>
  <c r="S34" i="26"/>
  <c r="T34" i="26"/>
  <c r="U34" i="26"/>
  <c r="N35" i="26"/>
  <c r="O35" i="26"/>
  <c r="P35" i="26"/>
  <c r="Q35" i="26"/>
  <c r="R35" i="26"/>
  <c r="S35" i="26"/>
  <c r="T35" i="26"/>
  <c r="U35" i="26"/>
  <c r="N36" i="26"/>
  <c r="O36" i="26"/>
  <c r="P36" i="26"/>
  <c r="Q36" i="26"/>
  <c r="R36" i="26"/>
  <c r="S36" i="26"/>
  <c r="T36" i="26"/>
  <c r="U36" i="26"/>
  <c r="N37" i="26"/>
  <c r="O37" i="26"/>
  <c r="P37" i="26"/>
  <c r="Q37" i="26"/>
  <c r="R37" i="26"/>
  <c r="S37" i="26"/>
  <c r="T37" i="26"/>
  <c r="U37" i="26"/>
  <c r="N38" i="26"/>
  <c r="O38" i="26"/>
  <c r="P38" i="26"/>
  <c r="Q38" i="26"/>
  <c r="R38" i="26"/>
  <c r="S38" i="26"/>
  <c r="T38" i="26"/>
  <c r="U38" i="26"/>
  <c r="N39" i="26"/>
  <c r="O39" i="26"/>
  <c r="P39" i="26"/>
  <c r="Q39" i="26"/>
  <c r="R39" i="26"/>
  <c r="S39" i="26"/>
  <c r="T39" i="26"/>
  <c r="U39" i="26"/>
  <c r="N40" i="26"/>
  <c r="O40" i="26"/>
  <c r="P40" i="26"/>
  <c r="Q40" i="26"/>
  <c r="R40" i="26"/>
  <c r="S40" i="26"/>
  <c r="T40" i="26"/>
  <c r="U40" i="26"/>
  <c r="N41" i="26"/>
  <c r="O41" i="26"/>
  <c r="P41" i="26"/>
  <c r="Q41" i="26"/>
  <c r="R41" i="26"/>
  <c r="S41" i="26"/>
  <c r="T41" i="26"/>
  <c r="U41" i="26"/>
  <c r="N42" i="26"/>
  <c r="O42" i="26"/>
  <c r="P42" i="26"/>
  <c r="Q42" i="26"/>
  <c r="R42" i="26"/>
  <c r="S42" i="26"/>
  <c r="T42" i="26"/>
  <c r="U42" i="26"/>
  <c r="N43" i="26"/>
  <c r="O43" i="26"/>
  <c r="P43" i="26"/>
  <c r="Q43" i="26"/>
  <c r="R43" i="26"/>
  <c r="S43" i="26"/>
  <c r="T43" i="26"/>
  <c r="U43" i="26"/>
  <c r="N44" i="26"/>
  <c r="O44" i="26"/>
  <c r="P44" i="26"/>
  <c r="Q44" i="26"/>
  <c r="R44" i="26"/>
  <c r="S44" i="26"/>
  <c r="T44" i="26"/>
  <c r="U44" i="26"/>
  <c r="N45" i="26"/>
  <c r="O45" i="26"/>
  <c r="P45" i="26"/>
  <c r="Q45" i="26"/>
  <c r="R45" i="26"/>
  <c r="S45" i="26"/>
  <c r="T45" i="26"/>
  <c r="U45" i="26"/>
  <c r="N46" i="26"/>
  <c r="O46" i="26"/>
  <c r="P46" i="26"/>
  <c r="Q46" i="26"/>
  <c r="R46" i="26"/>
  <c r="S46" i="26"/>
  <c r="T46" i="26"/>
  <c r="U46" i="26"/>
  <c r="N47" i="26"/>
  <c r="O47" i="26"/>
  <c r="P47" i="26"/>
  <c r="Q47" i="26"/>
  <c r="R47" i="26"/>
  <c r="S47" i="26"/>
  <c r="T47" i="26"/>
  <c r="U47" i="26"/>
  <c r="N48" i="26"/>
  <c r="O48" i="26"/>
  <c r="P48" i="26"/>
  <c r="Q48" i="26"/>
  <c r="R48" i="26"/>
  <c r="S48" i="26"/>
  <c r="T48" i="26"/>
  <c r="U48" i="26"/>
  <c r="N49" i="26"/>
  <c r="O49" i="26"/>
  <c r="P49" i="26"/>
  <c r="Q49" i="26"/>
  <c r="R49" i="26"/>
  <c r="S49" i="26"/>
  <c r="T49" i="26"/>
  <c r="U49" i="26"/>
  <c r="N50" i="26"/>
  <c r="O50" i="26"/>
  <c r="P50" i="26"/>
  <c r="Q50" i="26"/>
  <c r="R50" i="26"/>
  <c r="S50" i="26"/>
  <c r="T50" i="26"/>
  <c r="U50" i="26"/>
  <c r="N51" i="26"/>
  <c r="O51" i="26"/>
  <c r="P51" i="26"/>
  <c r="Q51" i="26"/>
  <c r="R51" i="26"/>
  <c r="S51" i="26"/>
  <c r="T51" i="26"/>
  <c r="U51" i="26"/>
  <c r="N52" i="26"/>
  <c r="O52" i="26"/>
  <c r="P52" i="26"/>
  <c r="Q52" i="26"/>
  <c r="R52" i="26"/>
  <c r="S52" i="26"/>
  <c r="T52" i="26"/>
  <c r="U52" i="26"/>
  <c r="N53" i="26"/>
  <c r="O53" i="26"/>
  <c r="P53" i="26"/>
  <c r="Q53" i="26"/>
  <c r="R53" i="26"/>
  <c r="S53" i="26"/>
  <c r="T53" i="26"/>
  <c r="U53" i="26"/>
  <c r="O2" i="26"/>
  <c r="P2" i="26"/>
  <c r="Q2" i="26"/>
  <c r="R2" i="26"/>
  <c r="S2" i="26"/>
  <c r="T2" i="26"/>
  <c r="U2" i="26"/>
  <c r="AP56" i="20" a="1"/>
  <c r="AP56" i="20" s="1"/>
  <c r="AP55" i="20" a="1"/>
  <c r="AP55" i="20" s="1"/>
  <c r="AP54" i="20" a="1"/>
  <c r="AP54" i="20" s="1"/>
  <c r="AP53" i="20" a="1"/>
  <c r="AP53" i="20" s="1"/>
  <c r="AP52" i="20" a="1"/>
  <c r="AP52" i="20" s="1"/>
  <c r="AP51" i="20" a="1"/>
  <c r="AP51" i="20" s="1"/>
  <c r="AP50" i="20" a="1"/>
  <c r="AP50" i="20" s="1"/>
  <c r="AP49" i="20" a="1"/>
  <c r="AP49" i="20" s="1"/>
  <c r="AP48" i="20" a="1"/>
  <c r="AP48" i="20" s="1"/>
  <c r="AP47" i="20" a="1"/>
  <c r="AP47" i="20" s="1"/>
  <c r="AP46" i="20" a="1"/>
  <c r="AP46" i="20" s="1"/>
  <c r="AP45" i="20" a="1"/>
  <c r="AP45" i="20" s="1"/>
  <c r="AP44" i="20" a="1"/>
  <c r="AP44" i="20" s="1"/>
  <c r="AP43" i="20" a="1"/>
  <c r="AP43" i="20" s="1"/>
  <c r="AP42" i="20" a="1"/>
  <c r="AP42" i="20" s="1"/>
  <c r="AP41" i="20" a="1"/>
  <c r="AP41" i="20" s="1"/>
  <c r="AP40" i="20" a="1"/>
  <c r="AP40" i="20" s="1"/>
  <c r="AP39" i="20" a="1"/>
  <c r="AP39" i="20" s="1"/>
  <c r="AP38" i="20" a="1"/>
  <c r="AP38" i="20" s="1"/>
  <c r="AP37" i="20" a="1"/>
  <c r="AP37" i="20" s="1"/>
  <c r="AP36" i="20" a="1"/>
  <c r="AP36" i="20" s="1"/>
  <c r="AP35" i="20" a="1"/>
  <c r="AP35" i="20" s="1"/>
  <c r="AP34" i="20" a="1"/>
  <c r="AP34" i="20" s="1"/>
  <c r="AP33" i="20" a="1"/>
  <c r="AP33" i="20" s="1"/>
  <c r="AP32" i="20" a="1"/>
  <c r="AP32" i="20" s="1"/>
  <c r="AP31" i="20" a="1"/>
  <c r="AP31" i="20" s="1"/>
  <c r="AP30" i="20" a="1"/>
  <c r="AP30" i="20" s="1"/>
  <c r="AP29" i="20" a="1"/>
  <c r="AP29" i="20" s="1"/>
  <c r="AP28" i="20" a="1"/>
  <c r="AP28" i="20" s="1"/>
  <c r="AP27" i="20" a="1"/>
  <c r="AP27" i="20" s="1"/>
  <c r="AP26" i="20" a="1"/>
  <c r="AP26" i="20" s="1"/>
  <c r="AP25" i="20" a="1"/>
  <c r="AP25" i="20" s="1"/>
  <c r="AP24" i="20" a="1"/>
  <c r="AP24" i="20" s="1"/>
  <c r="AP23" i="20" a="1"/>
  <c r="AP23" i="20" s="1"/>
  <c r="AP22" i="20" a="1"/>
  <c r="AP22" i="20" s="1"/>
  <c r="AP21" i="20" a="1"/>
  <c r="AP21" i="20" s="1"/>
  <c r="AP20" i="20" a="1"/>
  <c r="AP20" i="20" s="1"/>
  <c r="AP19" i="20" a="1"/>
  <c r="AP19" i="20" s="1"/>
  <c r="AP18" i="20" a="1"/>
  <c r="AP18" i="20" s="1"/>
  <c r="AP17" i="20" a="1"/>
  <c r="AP17" i="20" s="1"/>
  <c r="AP16" i="20" a="1"/>
  <c r="AP16" i="20" s="1"/>
  <c r="AP15" i="20" a="1"/>
  <c r="AP15" i="20" s="1"/>
  <c r="AP14" i="20" a="1"/>
  <c r="AP14" i="20" s="1"/>
  <c r="AP13" i="20" a="1"/>
  <c r="AP13" i="20" s="1"/>
  <c r="AP12" i="20" a="1"/>
  <c r="AP12" i="20" s="1"/>
  <c r="AP11" i="20" a="1"/>
  <c r="AP11" i="20" s="1"/>
  <c r="AP10" i="20" a="1"/>
  <c r="AP10" i="20" s="1"/>
  <c r="AP9" i="20" a="1"/>
  <c r="AP9" i="20" s="1"/>
  <c r="AP8" i="20" a="1"/>
  <c r="AP8" i="20" s="1"/>
  <c r="AP7" i="20" a="1"/>
  <c r="AP7" i="20" s="1"/>
  <c r="AP6" i="20" a="1"/>
  <c r="AP6" i="20" s="1"/>
  <c r="AP5" i="20" a="1"/>
  <c r="AP5" i="20" s="1"/>
  <c r="AM56" i="20" a="1"/>
  <c r="AM56" i="20" s="1"/>
  <c r="AM55" i="20" a="1"/>
  <c r="AM55" i="20" s="1"/>
  <c r="AM54" i="20" a="1"/>
  <c r="AM54" i="20" s="1"/>
  <c r="AM53" i="20" a="1"/>
  <c r="AM53" i="20" s="1"/>
  <c r="AM52" i="20" a="1"/>
  <c r="AM52" i="20" s="1"/>
  <c r="AM51" i="20" a="1"/>
  <c r="AM51" i="20" s="1"/>
  <c r="AM50" i="20" a="1"/>
  <c r="AM50" i="20" s="1"/>
  <c r="AM49" i="20" a="1"/>
  <c r="AM49" i="20" s="1"/>
  <c r="AM48" i="20" a="1"/>
  <c r="AM48" i="20" s="1"/>
  <c r="AM47" i="20" a="1"/>
  <c r="AM47" i="20" s="1"/>
  <c r="AM46" i="20" a="1"/>
  <c r="AM46" i="20" s="1"/>
  <c r="AM45" i="20" a="1"/>
  <c r="AM45" i="20" s="1"/>
  <c r="AM44" i="20" a="1"/>
  <c r="AM44" i="20" s="1"/>
  <c r="AM43" i="20" a="1"/>
  <c r="AM43" i="20" s="1"/>
  <c r="AM42" i="20" a="1"/>
  <c r="AM42" i="20" s="1"/>
  <c r="AM41" i="20" a="1"/>
  <c r="AM41" i="20" s="1"/>
  <c r="AM40" i="20" a="1"/>
  <c r="AM40" i="20" s="1"/>
  <c r="AM39" i="20" a="1"/>
  <c r="AM39" i="20" s="1"/>
  <c r="AM38" i="20" a="1"/>
  <c r="AM38" i="20" s="1"/>
  <c r="AM37" i="20" a="1"/>
  <c r="AM37" i="20" s="1"/>
  <c r="AM36" i="20" a="1"/>
  <c r="AM36" i="20" s="1"/>
  <c r="AM35" i="20" a="1"/>
  <c r="AM35" i="20" s="1"/>
  <c r="AM34" i="20" a="1"/>
  <c r="AM34" i="20" s="1"/>
  <c r="AM33" i="20" a="1"/>
  <c r="AM33" i="20" s="1"/>
  <c r="AM32" i="20" a="1"/>
  <c r="AM32" i="20" s="1"/>
  <c r="AM31" i="20" a="1"/>
  <c r="AM31" i="20" s="1"/>
  <c r="AM30" i="20" a="1"/>
  <c r="AM30" i="20" s="1"/>
  <c r="AM29" i="20" a="1"/>
  <c r="AM29" i="20" s="1"/>
  <c r="AM28" i="20" a="1"/>
  <c r="AM28" i="20" s="1"/>
  <c r="AM27" i="20" a="1"/>
  <c r="AM27" i="20" s="1"/>
  <c r="AM26" i="20" a="1"/>
  <c r="AM26" i="20" s="1"/>
  <c r="AM25" i="20" a="1"/>
  <c r="AM25" i="20" s="1"/>
  <c r="AM24" i="20" a="1"/>
  <c r="AM24" i="20" s="1"/>
  <c r="AM23" i="20" a="1"/>
  <c r="AM23" i="20" s="1"/>
  <c r="AM22" i="20" a="1"/>
  <c r="AM22" i="20" s="1"/>
  <c r="AM21" i="20" a="1"/>
  <c r="AM21" i="20" s="1"/>
  <c r="AM20" i="20" a="1"/>
  <c r="AM20" i="20" s="1"/>
  <c r="AM19" i="20" a="1"/>
  <c r="AM19" i="20" s="1"/>
  <c r="AM18" i="20" a="1"/>
  <c r="AM18" i="20" s="1"/>
  <c r="AM17" i="20" a="1"/>
  <c r="AM17" i="20" s="1"/>
  <c r="AM16" i="20" a="1"/>
  <c r="AM16" i="20" s="1"/>
  <c r="AM15" i="20" a="1"/>
  <c r="AM15" i="20" s="1"/>
  <c r="AM14" i="20" a="1"/>
  <c r="AM14" i="20" s="1"/>
  <c r="AM13" i="20" a="1"/>
  <c r="AM13" i="20" s="1"/>
  <c r="AM12" i="20" a="1"/>
  <c r="AM12" i="20" s="1"/>
  <c r="AM11" i="20" a="1"/>
  <c r="AM11" i="20" s="1"/>
  <c r="AM10" i="20" a="1"/>
  <c r="AM10" i="20" s="1"/>
  <c r="AM9" i="20" a="1"/>
  <c r="AM9" i="20" s="1"/>
  <c r="AM8" i="20" a="1"/>
  <c r="AM8" i="20" s="1"/>
  <c r="AM7" i="20" a="1"/>
  <c r="AM7" i="20" s="1"/>
  <c r="AM6" i="20" a="1"/>
  <c r="AM6" i="20" s="1"/>
  <c r="AM5" i="20" a="1"/>
  <c r="AM5" i="20" s="1"/>
  <c r="AJ56" i="20" a="1"/>
  <c r="AJ56" i="20" s="1"/>
  <c r="AJ55" i="20" a="1"/>
  <c r="AJ55" i="20" s="1"/>
  <c r="AJ54" i="20" a="1"/>
  <c r="AJ54" i="20" s="1"/>
  <c r="AJ53" i="20" a="1"/>
  <c r="AJ53" i="20" s="1"/>
  <c r="AJ52" i="20" a="1"/>
  <c r="AJ52" i="20" s="1"/>
  <c r="AJ51" i="20" a="1"/>
  <c r="AJ51" i="20" s="1"/>
  <c r="AJ50" i="20" a="1"/>
  <c r="AJ50" i="20" s="1"/>
  <c r="AJ49" i="20" a="1"/>
  <c r="AJ49" i="20" s="1"/>
  <c r="AJ48" i="20" a="1"/>
  <c r="AJ48" i="20" s="1"/>
  <c r="AJ47" i="20" a="1"/>
  <c r="AJ47" i="20" s="1"/>
  <c r="AJ46" i="20" a="1"/>
  <c r="AJ46" i="20" s="1"/>
  <c r="AJ45" i="20" a="1"/>
  <c r="AJ45" i="20" s="1"/>
  <c r="AJ44" i="20" a="1"/>
  <c r="AJ44" i="20" s="1"/>
  <c r="AJ43" i="20" a="1"/>
  <c r="AJ43" i="20" s="1"/>
  <c r="AJ42" i="20" a="1"/>
  <c r="AJ42" i="20" s="1"/>
  <c r="AJ41" i="20" a="1"/>
  <c r="AJ41" i="20" s="1"/>
  <c r="AJ40" i="20" a="1"/>
  <c r="AJ40" i="20" s="1"/>
  <c r="AJ39" i="20" a="1"/>
  <c r="AJ39" i="20" s="1"/>
  <c r="AJ38" i="20" a="1"/>
  <c r="AJ38" i="20" s="1"/>
  <c r="AJ37" i="20" a="1"/>
  <c r="AJ37" i="20" s="1"/>
  <c r="AJ36" i="20" a="1"/>
  <c r="AJ36" i="20" s="1"/>
  <c r="AJ35" i="20" a="1"/>
  <c r="AJ35" i="20" s="1"/>
  <c r="AJ34" i="20" a="1"/>
  <c r="AJ34" i="20" s="1"/>
  <c r="AJ33" i="20" a="1"/>
  <c r="AJ33" i="20" s="1"/>
  <c r="AJ32" i="20" a="1"/>
  <c r="AJ32" i="20" s="1"/>
  <c r="AJ31" i="20" a="1"/>
  <c r="AJ31" i="20" s="1"/>
  <c r="AJ30" i="20" a="1"/>
  <c r="AJ30" i="20" s="1"/>
  <c r="AJ29" i="20" a="1"/>
  <c r="AJ29" i="20" s="1"/>
  <c r="AJ28" i="20" a="1"/>
  <c r="AJ28" i="20" s="1"/>
  <c r="AJ27" i="20" a="1"/>
  <c r="AJ27" i="20" s="1"/>
  <c r="AJ26" i="20" a="1"/>
  <c r="AJ26" i="20" s="1"/>
  <c r="AJ25" i="20" a="1"/>
  <c r="AJ25" i="20" s="1"/>
  <c r="AJ24" i="20" a="1"/>
  <c r="AJ24" i="20" s="1"/>
  <c r="AJ23" i="20" a="1"/>
  <c r="AJ23" i="20" s="1"/>
  <c r="AJ22" i="20" a="1"/>
  <c r="AJ22" i="20" s="1"/>
  <c r="AJ21" i="20" a="1"/>
  <c r="AJ21" i="20" s="1"/>
  <c r="AJ20" i="20" a="1"/>
  <c r="AJ20" i="20" s="1"/>
  <c r="AJ19" i="20" a="1"/>
  <c r="AJ19" i="20" s="1"/>
  <c r="AJ18" i="20" a="1"/>
  <c r="AJ18" i="20" s="1"/>
  <c r="AJ17" i="20" a="1"/>
  <c r="AJ17" i="20" s="1"/>
  <c r="AJ16" i="20" a="1"/>
  <c r="AJ16" i="20" s="1"/>
  <c r="AJ15" i="20" a="1"/>
  <c r="AJ15" i="20" s="1"/>
  <c r="AJ14" i="20" a="1"/>
  <c r="AJ14" i="20" s="1"/>
  <c r="AJ13" i="20" a="1"/>
  <c r="AJ13" i="20" s="1"/>
  <c r="AJ12" i="20" a="1"/>
  <c r="AJ12" i="20" s="1"/>
  <c r="AJ11" i="20" a="1"/>
  <c r="AJ11" i="20" s="1"/>
  <c r="AJ10" i="20" a="1"/>
  <c r="AJ10" i="20" s="1"/>
  <c r="AJ9" i="20" a="1"/>
  <c r="AJ9" i="20" s="1"/>
  <c r="AJ8" i="20" a="1"/>
  <c r="AJ8" i="20" s="1"/>
  <c r="AJ7" i="20" a="1"/>
  <c r="AJ7" i="20" s="1"/>
  <c r="AJ6" i="20" a="1"/>
  <c r="AJ6" i="20" s="1"/>
  <c r="AJ5" i="20" a="1"/>
  <c r="AJ5" i="20" s="1"/>
  <c r="AG56" i="20" a="1"/>
  <c r="AG56" i="20" s="1"/>
  <c r="AG55" i="20" a="1"/>
  <c r="AG55" i="20" s="1"/>
  <c r="AG54" i="20" a="1"/>
  <c r="AG54" i="20" s="1"/>
  <c r="AG53" i="20" a="1"/>
  <c r="AG53" i="20" s="1"/>
  <c r="AG52" i="20" a="1"/>
  <c r="AG52" i="20" s="1"/>
  <c r="AG51" i="20" a="1"/>
  <c r="AG51" i="20" s="1"/>
  <c r="AG50" i="20" a="1"/>
  <c r="AG50" i="20" s="1"/>
  <c r="AG49" i="20" a="1"/>
  <c r="AG49" i="20" s="1"/>
  <c r="AG48" i="20" a="1"/>
  <c r="AG48" i="20" s="1"/>
  <c r="AG47" i="20" a="1"/>
  <c r="AG47" i="20" s="1"/>
  <c r="AG46" i="20" a="1"/>
  <c r="AG46" i="20" s="1"/>
  <c r="AG45" i="20" a="1"/>
  <c r="AG45" i="20" s="1"/>
  <c r="AG44" i="20" a="1"/>
  <c r="AG44" i="20" s="1"/>
  <c r="AG43" i="20" a="1"/>
  <c r="AG43" i="20" s="1"/>
  <c r="AG42" i="20" a="1"/>
  <c r="AG42" i="20" s="1"/>
  <c r="AG41" i="20" a="1"/>
  <c r="AG41" i="20" s="1"/>
  <c r="AG40" i="20" a="1"/>
  <c r="AG40" i="20" s="1"/>
  <c r="AG39" i="20" a="1"/>
  <c r="AG39" i="20" s="1"/>
  <c r="AG38" i="20" a="1"/>
  <c r="AG38" i="20" s="1"/>
  <c r="AG37" i="20" a="1"/>
  <c r="AG37" i="20" s="1"/>
  <c r="AG36" i="20" a="1"/>
  <c r="AG36" i="20" s="1"/>
  <c r="AG35" i="20" a="1"/>
  <c r="AG35" i="20" s="1"/>
  <c r="AG34" i="20" a="1"/>
  <c r="AG34" i="20" s="1"/>
  <c r="AG33" i="20" a="1"/>
  <c r="AG33" i="20" s="1"/>
  <c r="AG32" i="20" a="1"/>
  <c r="AG32" i="20" s="1"/>
  <c r="AG31" i="20" a="1"/>
  <c r="AG31" i="20" s="1"/>
  <c r="AG30" i="20" a="1"/>
  <c r="AG30" i="20" s="1"/>
  <c r="AG29" i="20" a="1"/>
  <c r="AG29" i="20" s="1"/>
  <c r="AG28" i="20" a="1"/>
  <c r="AG28" i="20" s="1"/>
  <c r="AG27" i="20" a="1"/>
  <c r="AG27" i="20" s="1"/>
  <c r="AG26" i="20" a="1"/>
  <c r="AG26" i="20" s="1"/>
  <c r="AG25" i="20" a="1"/>
  <c r="AG25" i="20" s="1"/>
  <c r="AG24" i="20" a="1"/>
  <c r="AG24" i="20" s="1"/>
  <c r="AG23" i="20" a="1"/>
  <c r="AG23" i="20" s="1"/>
  <c r="AG22" i="20" a="1"/>
  <c r="AG22" i="20" s="1"/>
  <c r="AG21" i="20" a="1"/>
  <c r="AG21" i="20" s="1"/>
  <c r="AG20" i="20" a="1"/>
  <c r="AG20" i="20" s="1"/>
  <c r="AG19" i="20" a="1"/>
  <c r="AG19" i="20" s="1"/>
  <c r="AG18" i="20" a="1"/>
  <c r="AG18" i="20" s="1"/>
  <c r="AG17" i="20" a="1"/>
  <c r="AG17" i="20" s="1"/>
  <c r="AG16" i="20" a="1"/>
  <c r="AG16" i="20" s="1"/>
  <c r="AG15" i="20" a="1"/>
  <c r="AG15" i="20" s="1"/>
  <c r="AG14" i="20" a="1"/>
  <c r="AG14" i="20" s="1"/>
  <c r="AG13" i="20" a="1"/>
  <c r="AG13" i="20" s="1"/>
  <c r="AG12" i="20" a="1"/>
  <c r="AG12" i="20" s="1"/>
  <c r="AG11" i="20" a="1"/>
  <c r="AG11" i="20" s="1"/>
  <c r="AG10" i="20" a="1"/>
  <c r="AG10" i="20" s="1"/>
  <c r="AG9" i="20" a="1"/>
  <c r="AG9" i="20" s="1"/>
  <c r="AG8" i="20" a="1"/>
  <c r="AG8" i="20" s="1"/>
  <c r="AG7" i="20" a="1"/>
  <c r="AG7" i="20" s="1"/>
  <c r="AG6" i="20" a="1"/>
  <c r="AG6" i="20" s="1"/>
  <c r="AG5" i="20" a="1"/>
  <c r="AG5" i="20" s="1"/>
  <c r="AD56" i="20" a="1"/>
  <c r="AD56" i="20" s="1"/>
  <c r="AD55" i="20" a="1"/>
  <c r="AD55" i="20" s="1"/>
  <c r="AD54" i="20" a="1"/>
  <c r="AD54" i="20" s="1"/>
  <c r="AD53" i="20" a="1"/>
  <c r="AD53" i="20" s="1"/>
  <c r="AD52" i="20" a="1"/>
  <c r="AD52" i="20" s="1"/>
  <c r="AD51" i="20" a="1"/>
  <c r="AD51" i="20" s="1"/>
  <c r="AD50" i="20" a="1"/>
  <c r="AD50" i="20" s="1"/>
  <c r="AD49" i="20" a="1"/>
  <c r="AD49" i="20" s="1"/>
  <c r="AD48" i="20" a="1"/>
  <c r="AD48" i="20" s="1"/>
  <c r="AD47" i="20" a="1"/>
  <c r="AD47" i="20" s="1"/>
  <c r="AD46" i="20" a="1"/>
  <c r="AD46" i="20" s="1"/>
  <c r="AD45" i="20" a="1"/>
  <c r="AD45" i="20" s="1"/>
  <c r="AD44" i="20" a="1"/>
  <c r="AD44" i="20" s="1"/>
  <c r="AD43" i="20" a="1"/>
  <c r="AD43" i="20" s="1"/>
  <c r="AD42" i="20" a="1"/>
  <c r="AD42" i="20" s="1"/>
  <c r="AD41" i="20" a="1"/>
  <c r="AD41" i="20" s="1"/>
  <c r="AD40" i="20" a="1"/>
  <c r="AD40" i="20" s="1"/>
  <c r="AD39" i="20" a="1"/>
  <c r="AD39" i="20" s="1"/>
  <c r="AD38" i="20" a="1"/>
  <c r="AD38" i="20" s="1"/>
  <c r="AD37" i="20" a="1"/>
  <c r="AD37" i="20" s="1"/>
  <c r="AD36" i="20" a="1"/>
  <c r="AD36" i="20" s="1"/>
  <c r="AD35" i="20" a="1"/>
  <c r="AD35" i="20" s="1"/>
  <c r="AD34" i="20" a="1"/>
  <c r="AD34" i="20" s="1"/>
  <c r="AD33" i="20" a="1"/>
  <c r="AD33" i="20" s="1"/>
  <c r="AD32" i="20" a="1"/>
  <c r="AD32" i="20" s="1"/>
  <c r="AD31" i="20" a="1"/>
  <c r="AD31" i="20" s="1"/>
  <c r="AD30" i="20" a="1"/>
  <c r="AD30" i="20" s="1"/>
  <c r="AD29" i="20" a="1"/>
  <c r="AD29" i="20" s="1"/>
  <c r="AD28" i="20" a="1"/>
  <c r="AD28" i="20" s="1"/>
  <c r="AD27" i="20" a="1"/>
  <c r="AD27" i="20" s="1"/>
  <c r="AD26" i="20" a="1"/>
  <c r="AD26" i="20" s="1"/>
  <c r="AD25" i="20" a="1"/>
  <c r="AD25" i="20" s="1"/>
  <c r="AD24" i="20" a="1"/>
  <c r="AD24" i="20" s="1"/>
  <c r="AD23" i="20" a="1"/>
  <c r="AD23" i="20" s="1"/>
  <c r="AD22" i="20" a="1"/>
  <c r="AD22" i="20" s="1"/>
  <c r="AD21" i="20" a="1"/>
  <c r="AD21" i="20" s="1"/>
  <c r="AD20" i="20" a="1"/>
  <c r="AD20" i="20" s="1"/>
  <c r="AD19" i="20" a="1"/>
  <c r="AD19" i="20" s="1"/>
  <c r="AD18" i="20" a="1"/>
  <c r="AD18" i="20" s="1"/>
  <c r="AD17" i="20" a="1"/>
  <c r="AD17" i="20" s="1"/>
  <c r="AD16" i="20" a="1"/>
  <c r="AD16" i="20" s="1"/>
  <c r="AD15" i="20" a="1"/>
  <c r="AD15" i="20" s="1"/>
  <c r="AD14" i="20" a="1"/>
  <c r="AD14" i="20" s="1"/>
  <c r="AD13" i="20" a="1"/>
  <c r="AD13" i="20" s="1"/>
  <c r="AD12" i="20" a="1"/>
  <c r="AD12" i="20" s="1"/>
  <c r="AD11" i="20" a="1"/>
  <c r="AD11" i="20" s="1"/>
  <c r="AD10" i="20" a="1"/>
  <c r="AD10" i="20" s="1"/>
  <c r="AD9" i="20" a="1"/>
  <c r="AD9" i="20" s="1"/>
  <c r="AD8" i="20" a="1"/>
  <c r="AD8" i="20" s="1"/>
  <c r="AD7" i="20" a="1"/>
  <c r="AD7" i="20" s="1"/>
  <c r="AD6" i="20" a="1"/>
  <c r="AD6" i="20" s="1"/>
  <c r="AD5" i="20" a="1"/>
  <c r="AD5" i="20" s="1"/>
  <c r="AA56" i="20" a="1"/>
  <c r="AA56" i="20" s="1"/>
  <c r="AA55" i="20" a="1"/>
  <c r="AA55" i="20" s="1"/>
  <c r="AA54" i="20" a="1"/>
  <c r="AA54" i="20" s="1"/>
  <c r="AA53" i="20" a="1"/>
  <c r="AA53" i="20" s="1"/>
  <c r="AA52" i="20" a="1"/>
  <c r="AA52" i="20" s="1"/>
  <c r="AA51" i="20" a="1"/>
  <c r="AA51" i="20" s="1"/>
  <c r="AA50" i="20" a="1"/>
  <c r="AA50" i="20" s="1"/>
  <c r="AA49" i="20" a="1"/>
  <c r="AA49" i="20" s="1"/>
  <c r="AA48" i="20" a="1"/>
  <c r="AA48" i="20" s="1"/>
  <c r="AA47" i="20" a="1"/>
  <c r="AA47" i="20" s="1"/>
  <c r="AA46" i="20" a="1"/>
  <c r="AA46" i="20" s="1"/>
  <c r="AA45" i="20" a="1"/>
  <c r="AA45" i="20" s="1"/>
  <c r="AA44" i="20" a="1"/>
  <c r="AA44" i="20" s="1"/>
  <c r="AA43" i="20" a="1"/>
  <c r="AA43" i="20" s="1"/>
  <c r="AA42" i="20" a="1"/>
  <c r="AA42" i="20" s="1"/>
  <c r="AA41" i="20" a="1"/>
  <c r="AA41" i="20" s="1"/>
  <c r="AA40" i="20" a="1"/>
  <c r="AA40" i="20" s="1"/>
  <c r="AA39" i="20" a="1"/>
  <c r="AA39" i="20" s="1"/>
  <c r="AA38" i="20" a="1"/>
  <c r="AA38" i="20" s="1"/>
  <c r="AA37" i="20" a="1"/>
  <c r="AA37" i="20" s="1"/>
  <c r="AA36" i="20" a="1"/>
  <c r="AA36" i="20" s="1"/>
  <c r="AA35" i="20" a="1"/>
  <c r="AA35" i="20" s="1"/>
  <c r="AA34" i="20" a="1"/>
  <c r="AA34" i="20" s="1"/>
  <c r="AA33" i="20" a="1"/>
  <c r="AA33" i="20" s="1"/>
  <c r="AA32" i="20" a="1"/>
  <c r="AA32" i="20" s="1"/>
  <c r="AA31" i="20" a="1"/>
  <c r="AA31" i="20" s="1"/>
  <c r="AA30" i="20" a="1"/>
  <c r="AA30" i="20" s="1"/>
  <c r="AA29" i="20" a="1"/>
  <c r="AA29" i="20" s="1"/>
  <c r="AA28" i="20" a="1"/>
  <c r="AA28" i="20" s="1"/>
  <c r="AA27" i="20" a="1"/>
  <c r="AA27" i="20" s="1"/>
  <c r="AA26" i="20" a="1"/>
  <c r="AA26" i="20" s="1"/>
  <c r="AA25" i="20" a="1"/>
  <c r="AA25" i="20" s="1"/>
  <c r="AA24" i="20" a="1"/>
  <c r="AA24" i="20" s="1"/>
  <c r="AA23" i="20" a="1"/>
  <c r="AA23" i="20" s="1"/>
  <c r="AA22" i="20" a="1"/>
  <c r="AA22" i="20" s="1"/>
  <c r="AA21" i="20" a="1"/>
  <c r="AA21" i="20" s="1"/>
  <c r="AA20" i="20" a="1"/>
  <c r="AA20" i="20" s="1"/>
  <c r="AA19" i="20" a="1"/>
  <c r="AA19" i="20" s="1"/>
  <c r="AA18" i="20" a="1"/>
  <c r="AA18" i="20" s="1"/>
  <c r="AA17" i="20" a="1"/>
  <c r="AA17" i="20" s="1"/>
  <c r="AA16" i="20" a="1"/>
  <c r="AA16" i="20" s="1"/>
  <c r="AA15" i="20" a="1"/>
  <c r="AA15" i="20" s="1"/>
  <c r="AA14" i="20" a="1"/>
  <c r="AA14" i="20" s="1"/>
  <c r="AA13" i="20" a="1"/>
  <c r="AA13" i="20" s="1"/>
  <c r="AA12" i="20" a="1"/>
  <c r="AA12" i="20" s="1"/>
  <c r="AA11" i="20" a="1"/>
  <c r="AA11" i="20" s="1"/>
  <c r="AA10" i="20" a="1"/>
  <c r="AA10" i="20" s="1"/>
  <c r="AA9" i="20" a="1"/>
  <c r="AA9" i="20" s="1"/>
  <c r="AA8" i="20" a="1"/>
  <c r="AA8" i="20" s="1"/>
  <c r="AA7" i="20" a="1"/>
  <c r="AA7" i="20" s="1"/>
  <c r="AA6" i="20" a="1"/>
  <c r="AA6" i="20" s="1"/>
  <c r="AA5" i="20" a="1"/>
  <c r="AA5" i="20" s="1"/>
  <c r="X56" i="20" a="1"/>
  <c r="X56" i="20" s="1"/>
  <c r="X55" i="20" a="1"/>
  <c r="X55" i="20" s="1"/>
  <c r="X54" i="20" a="1"/>
  <c r="X54" i="20" s="1"/>
  <c r="X53" i="20" a="1"/>
  <c r="X53" i="20" s="1"/>
  <c r="X52" i="20" a="1"/>
  <c r="X52" i="20" s="1"/>
  <c r="X51" i="20" a="1"/>
  <c r="X51" i="20" s="1"/>
  <c r="X50" i="20" a="1"/>
  <c r="X50" i="20" s="1"/>
  <c r="X49" i="20" a="1"/>
  <c r="X49" i="20" s="1"/>
  <c r="X48" i="20" a="1"/>
  <c r="X48" i="20" s="1"/>
  <c r="X47" i="20" a="1"/>
  <c r="X47" i="20" s="1"/>
  <c r="X46" i="20" a="1"/>
  <c r="X46" i="20" s="1"/>
  <c r="X45" i="20" a="1"/>
  <c r="X45" i="20" s="1"/>
  <c r="X44" i="20" a="1"/>
  <c r="X44" i="20" s="1"/>
  <c r="X43" i="20" a="1"/>
  <c r="X43" i="20" s="1"/>
  <c r="X42" i="20" a="1"/>
  <c r="X42" i="20" s="1"/>
  <c r="X41" i="20" a="1"/>
  <c r="X41" i="20" s="1"/>
  <c r="X40" i="20" a="1"/>
  <c r="X40" i="20" s="1"/>
  <c r="X39" i="20" a="1"/>
  <c r="X39" i="20" s="1"/>
  <c r="X38" i="20" a="1"/>
  <c r="X38" i="20" s="1"/>
  <c r="X37" i="20" a="1"/>
  <c r="X37" i="20" s="1"/>
  <c r="X36" i="20" a="1"/>
  <c r="X36" i="20" s="1"/>
  <c r="X35" i="20" a="1"/>
  <c r="X35" i="20" s="1"/>
  <c r="X34" i="20" a="1"/>
  <c r="X34" i="20" s="1"/>
  <c r="X33" i="20" a="1"/>
  <c r="X33" i="20" s="1"/>
  <c r="X32" i="20" a="1"/>
  <c r="X32" i="20" s="1"/>
  <c r="X31" i="20" a="1"/>
  <c r="X31" i="20" s="1"/>
  <c r="X30" i="20" a="1"/>
  <c r="X30" i="20" s="1"/>
  <c r="X29" i="20" a="1"/>
  <c r="X29" i="20" s="1"/>
  <c r="X28" i="20" a="1"/>
  <c r="X28" i="20" s="1"/>
  <c r="X27" i="20" a="1"/>
  <c r="X27" i="20" s="1"/>
  <c r="X26" i="20" a="1"/>
  <c r="X26" i="20" s="1"/>
  <c r="X25" i="20" a="1"/>
  <c r="X25" i="20" s="1"/>
  <c r="X24" i="20" a="1"/>
  <c r="X24" i="20" s="1"/>
  <c r="X23" i="20" a="1"/>
  <c r="X23" i="20" s="1"/>
  <c r="X22" i="20" a="1"/>
  <c r="X22" i="20" s="1"/>
  <c r="X21" i="20" a="1"/>
  <c r="X21" i="20" s="1"/>
  <c r="X20" i="20" a="1"/>
  <c r="X20" i="20" s="1"/>
  <c r="X19" i="20" a="1"/>
  <c r="X19" i="20" s="1"/>
  <c r="X18" i="20" a="1"/>
  <c r="X18" i="20" s="1"/>
  <c r="X17" i="20" a="1"/>
  <c r="X17" i="20" s="1"/>
  <c r="X16" i="20" a="1"/>
  <c r="X16" i="20" s="1"/>
  <c r="X15" i="20" a="1"/>
  <c r="X15" i="20" s="1"/>
  <c r="X14" i="20" a="1"/>
  <c r="X14" i="20" s="1"/>
  <c r="X13" i="20" a="1"/>
  <c r="X13" i="20" s="1"/>
  <c r="X12" i="20" a="1"/>
  <c r="X12" i="20" s="1"/>
  <c r="X11" i="20" a="1"/>
  <c r="X11" i="20" s="1"/>
  <c r="X10" i="20" a="1"/>
  <c r="X10" i="20" s="1"/>
  <c r="X9" i="20" a="1"/>
  <c r="X9" i="20" s="1"/>
  <c r="X8" i="20" a="1"/>
  <c r="X8" i="20" s="1"/>
  <c r="X7" i="20" a="1"/>
  <c r="X7" i="20" s="1"/>
  <c r="X6" i="20" a="1"/>
  <c r="X6" i="20" s="1"/>
  <c r="X5" i="20" a="1"/>
  <c r="X5" i="20" s="1"/>
  <c r="U6" i="20" a="1"/>
  <c r="U6" i="20" s="1"/>
  <c r="U7" i="20" a="1"/>
  <c r="U7" i="20" s="1"/>
  <c r="U8" i="20" a="1"/>
  <c r="U8" i="20" s="1"/>
  <c r="U9" i="20" a="1"/>
  <c r="U9" i="20" s="1"/>
  <c r="U10" i="20" a="1"/>
  <c r="U10" i="20" s="1"/>
  <c r="U11" i="20" a="1"/>
  <c r="U11" i="20" s="1"/>
  <c r="U12" i="20" a="1"/>
  <c r="U12" i="20" s="1"/>
  <c r="U13" i="20" a="1"/>
  <c r="U13" i="20" s="1"/>
  <c r="U14" i="20" a="1"/>
  <c r="U14" i="20" s="1"/>
  <c r="U15" i="20" a="1"/>
  <c r="U15" i="20" s="1"/>
  <c r="U16" i="20" a="1"/>
  <c r="U16" i="20" s="1"/>
  <c r="U17" i="20" a="1"/>
  <c r="U17" i="20" s="1"/>
  <c r="U18" i="20" a="1"/>
  <c r="U18" i="20" s="1"/>
  <c r="U19" i="20" a="1"/>
  <c r="U19" i="20" s="1"/>
  <c r="U20" i="20" a="1"/>
  <c r="U20" i="20" s="1"/>
  <c r="U21" i="20" a="1"/>
  <c r="U21" i="20" s="1"/>
  <c r="U22" i="20" a="1"/>
  <c r="U22" i="20" s="1"/>
  <c r="U23" i="20" a="1"/>
  <c r="U23" i="20" s="1"/>
  <c r="U24" i="20" a="1"/>
  <c r="U24" i="20" s="1"/>
  <c r="U25" i="20" a="1"/>
  <c r="U25" i="20" s="1"/>
  <c r="U26" i="20" a="1"/>
  <c r="U26" i="20" s="1"/>
  <c r="U27" i="20" a="1"/>
  <c r="U27" i="20" s="1"/>
  <c r="U28" i="20" a="1"/>
  <c r="U28" i="20" s="1"/>
  <c r="U29" i="20" a="1"/>
  <c r="U29" i="20" s="1"/>
  <c r="U30" i="20" a="1"/>
  <c r="U30" i="20" s="1"/>
  <c r="U31" i="20" a="1"/>
  <c r="U31" i="20" s="1"/>
  <c r="U32" i="20" a="1"/>
  <c r="U32" i="20" s="1"/>
  <c r="U33" i="20" a="1"/>
  <c r="U33" i="20" s="1"/>
  <c r="U34" i="20" a="1"/>
  <c r="U34" i="20" s="1"/>
  <c r="U35" i="20" a="1"/>
  <c r="U35" i="20" s="1"/>
  <c r="U36" i="20" a="1"/>
  <c r="U36" i="20" s="1"/>
  <c r="U37" i="20" a="1"/>
  <c r="U37" i="20" s="1"/>
  <c r="U38" i="20" a="1"/>
  <c r="U38" i="20" s="1"/>
  <c r="U39" i="20" a="1"/>
  <c r="U39" i="20" s="1"/>
  <c r="U40" i="20" a="1"/>
  <c r="U40" i="20" s="1"/>
  <c r="U41" i="20" a="1"/>
  <c r="U41" i="20" s="1"/>
  <c r="U42" i="20" a="1"/>
  <c r="U42" i="20" s="1"/>
  <c r="U43" i="20" a="1"/>
  <c r="U43" i="20" s="1"/>
  <c r="U44" i="20" a="1"/>
  <c r="U44" i="20" s="1"/>
  <c r="U45" i="20" a="1"/>
  <c r="U45" i="20" s="1"/>
  <c r="U46" i="20" a="1"/>
  <c r="U46" i="20" s="1"/>
  <c r="U47" i="20" a="1"/>
  <c r="U47" i="20" s="1"/>
  <c r="U48" i="20" a="1"/>
  <c r="U48" i="20" s="1"/>
  <c r="U49" i="20" a="1"/>
  <c r="U49" i="20" s="1"/>
  <c r="U50" i="20" a="1"/>
  <c r="U50" i="20" s="1"/>
  <c r="U51" i="20" a="1"/>
  <c r="U51" i="20" s="1"/>
  <c r="U52" i="20" a="1"/>
  <c r="U52" i="20" s="1"/>
  <c r="U53" i="20" a="1"/>
  <c r="U53" i="20" s="1"/>
  <c r="U54" i="20" a="1"/>
  <c r="U54" i="20" s="1"/>
  <c r="U55" i="20" a="1"/>
  <c r="U55" i="20" s="1"/>
  <c r="U56" i="20" a="1"/>
  <c r="U56" i="20" s="1"/>
  <c r="U5" i="20" a="1"/>
  <c r="U5" i="20" s="1"/>
  <c r="V5" i="20"/>
  <c r="Y5" i="20"/>
  <c r="AB5" i="20"/>
  <c r="B2" i="26"/>
  <c r="B3" i="26"/>
  <c r="B4" i="26"/>
  <c r="B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38" i="26"/>
  <c r="B39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6" i="20"/>
  <c r="K5" i="20"/>
  <c r="M23" i="23"/>
  <c r="AG4" i="23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4" i="23"/>
  <c r="AN56" i="20"/>
  <c r="AK54" i="20"/>
  <c r="AK53" i="20"/>
  <c r="AN52" i="20"/>
  <c r="AK52" i="20"/>
  <c r="AN51" i="20"/>
  <c r="AK51" i="20"/>
  <c r="AN50" i="20"/>
  <c r="AK49" i="20"/>
  <c r="AN48" i="20"/>
  <c r="AK48" i="20"/>
  <c r="AK44" i="20"/>
  <c r="AN42" i="20"/>
  <c r="AK42" i="20"/>
  <c r="AN41" i="20"/>
  <c r="AN40" i="20"/>
  <c r="AK40" i="20"/>
  <c r="AN39" i="20"/>
  <c r="AK39" i="20"/>
  <c r="AN38" i="20"/>
  <c r="AK38" i="20"/>
  <c r="AK37" i="20"/>
  <c r="AN36" i="20"/>
  <c r="AK36" i="20"/>
  <c r="AN35" i="20"/>
  <c r="AK35" i="20"/>
  <c r="AN34" i="20"/>
  <c r="AK34" i="20"/>
  <c r="AN33" i="20"/>
  <c r="AK33" i="20"/>
  <c r="AN32" i="20"/>
  <c r="AK32" i="20"/>
  <c r="AN31" i="20"/>
  <c r="AK31" i="20"/>
  <c r="AN30" i="20"/>
  <c r="AK30" i="20"/>
  <c r="AN29" i="20"/>
  <c r="AK29" i="20"/>
  <c r="AN28" i="20"/>
  <c r="AK28" i="20"/>
  <c r="AN27" i="20"/>
  <c r="AK27" i="20"/>
  <c r="AN26" i="20"/>
  <c r="AK26" i="20"/>
  <c r="AN25" i="20"/>
  <c r="AK25" i="20"/>
  <c r="AN24" i="20"/>
  <c r="AK24" i="20"/>
  <c r="AN23" i="20"/>
  <c r="AK23" i="20"/>
  <c r="AN22" i="20"/>
  <c r="AK22" i="20"/>
  <c r="AN21" i="20"/>
  <c r="AK21" i="20"/>
  <c r="AN20" i="20"/>
  <c r="AK20" i="20"/>
  <c r="AN19" i="20"/>
  <c r="AK19" i="20"/>
  <c r="AN18" i="20"/>
  <c r="AK18" i="20"/>
  <c r="AN17" i="20"/>
  <c r="AK17" i="20"/>
  <c r="AN16" i="20"/>
  <c r="AK16" i="20"/>
  <c r="AN15" i="20"/>
  <c r="AK15" i="20"/>
  <c r="AN14" i="20"/>
  <c r="AK14" i="20"/>
  <c r="AN13" i="20"/>
  <c r="AK13" i="20"/>
  <c r="AN12" i="20"/>
  <c r="AK12" i="20"/>
  <c r="AN11" i="20"/>
  <c r="AK11" i="20"/>
  <c r="AN10" i="20"/>
  <c r="AK10" i="20"/>
  <c r="AN9" i="20"/>
  <c r="AK9" i="20"/>
  <c r="AN8" i="20"/>
  <c r="AK8" i="20"/>
  <c r="AN7" i="20"/>
  <c r="AK7" i="20"/>
  <c r="AN6" i="20"/>
  <c r="AK6" i="20"/>
  <c r="AN5" i="20"/>
  <c r="AK5" i="20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C8" i="23"/>
  <c r="AN55" i="20" l="1"/>
  <c r="AN49" i="20"/>
  <c r="AN43" i="20"/>
  <c r="AK50" i="20"/>
  <c r="AN53" i="20"/>
  <c r="AN47" i="20"/>
  <c r="AK56" i="20"/>
  <c r="AK45" i="20"/>
  <c r="AK43" i="20"/>
  <c r="AK41" i="20"/>
  <c r="AN54" i="20"/>
  <c r="AN46" i="20"/>
  <c r="AN45" i="20"/>
  <c r="AN44" i="20"/>
  <c r="AN37" i="20"/>
  <c r="AK55" i="20"/>
  <c r="AK47" i="20"/>
  <c r="AK46" i="20"/>
  <c r="M3" i="23"/>
  <c r="O3" i="23"/>
  <c r="P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E3" i="23"/>
  <c r="AF3" i="23"/>
  <c r="AG3" i="23"/>
  <c r="I4" i="23"/>
  <c r="M4" i="23"/>
  <c r="O4" i="23"/>
  <c r="P4" i="23"/>
  <c r="Q4" i="23"/>
  <c r="R4" i="23"/>
  <c r="N4" i="23" s="1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I5" i="23"/>
  <c r="I6" i="23" s="1"/>
  <c r="I7" i="23" s="1"/>
  <c r="I8" i="23" s="1"/>
  <c r="M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M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E6" i="23"/>
  <c r="AF6" i="23"/>
  <c r="AG6" i="23"/>
  <c r="M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M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M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E9" i="23"/>
  <c r="AF9" i="23"/>
  <c r="AG9" i="23"/>
  <c r="M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M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M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M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M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E14" i="23"/>
  <c r="AF14" i="23"/>
  <c r="AG14" i="23"/>
  <c r="M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M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M17" i="23"/>
  <c r="O17" i="23"/>
  <c r="P17" i="23"/>
  <c r="Q17" i="23"/>
  <c r="R17" i="23"/>
  <c r="S17" i="23"/>
  <c r="T17" i="23"/>
  <c r="U17" i="23"/>
  <c r="V17" i="23"/>
  <c r="W17" i="23"/>
  <c r="X17" i="23"/>
  <c r="Y17" i="23"/>
  <c r="Z17" i="23"/>
  <c r="AA17" i="23"/>
  <c r="AB17" i="23"/>
  <c r="AC17" i="23"/>
  <c r="AD17" i="23"/>
  <c r="AE17" i="23"/>
  <c r="AF17" i="23"/>
  <c r="AG17" i="23"/>
  <c r="M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M19" i="23"/>
  <c r="O19" i="23"/>
  <c r="P19" i="23"/>
  <c r="Q19" i="23"/>
  <c r="R19" i="23"/>
  <c r="S19" i="23"/>
  <c r="T19" i="23"/>
  <c r="U19" i="23"/>
  <c r="V19" i="23"/>
  <c r="W19" i="23"/>
  <c r="X19" i="23"/>
  <c r="Y19" i="23"/>
  <c r="Z19" i="23"/>
  <c r="AA19" i="23"/>
  <c r="AB19" i="23"/>
  <c r="AC19" i="23"/>
  <c r="AD19" i="23"/>
  <c r="AE19" i="23"/>
  <c r="AF19" i="23"/>
  <c r="AG19" i="23"/>
  <c r="M20" i="23"/>
  <c r="O20" i="23"/>
  <c r="P20" i="23"/>
  <c r="Q20" i="23"/>
  <c r="R20" i="23"/>
  <c r="S20" i="23"/>
  <c r="T20" i="23"/>
  <c r="U20" i="23"/>
  <c r="V20" i="23"/>
  <c r="W20" i="23"/>
  <c r="X20" i="23"/>
  <c r="Y20" i="23"/>
  <c r="Z20" i="23"/>
  <c r="AA20" i="23"/>
  <c r="AB20" i="23"/>
  <c r="AC20" i="23"/>
  <c r="AD20" i="23"/>
  <c r="AE20" i="23"/>
  <c r="AF20" i="23"/>
  <c r="AG20" i="23"/>
  <c r="M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M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O25" i="23"/>
  <c r="P25" i="23"/>
  <c r="Q25" i="23"/>
  <c r="R25" i="23"/>
  <c r="S25" i="23"/>
  <c r="T25" i="23"/>
  <c r="U25" i="23"/>
  <c r="V25" i="23"/>
  <c r="W25" i="23"/>
  <c r="X25" i="23"/>
  <c r="Y25" i="23"/>
  <c r="Z25" i="23"/>
  <c r="AA25" i="23"/>
  <c r="AB25" i="23"/>
  <c r="AC25" i="23"/>
  <c r="AD25" i="23"/>
  <c r="AE25" i="23"/>
  <c r="AF25" i="23"/>
  <c r="AG25" i="23"/>
  <c r="O26" i="23"/>
  <c r="P26" i="23"/>
  <c r="Q26" i="23"/>
  <c r="R26" i="23"/>
  <c r="S26" i="23"/>
  <c r="T26" i="23"/>
  <c r="U26" i="23"/>
  <c r="V26" i="23"/>
  <c r="W26" i="23"/>
  <c r="X26" i="23"/>
  <c r="Y26" i="23"/>
  <c r="Z26" i="23"/>
  <c r="AA26" i="23"/>
  <c r="AB26" i="23"/>
  <c r="AC26" i="23"/>
  <c r="AD26" i="23"/>
  <c r="AE26" i="23"/>
  <c r="AF26" i="23"/>
  <c r="AG26" i="23"/>
  <c r="Z27" i="23"/>
  <c r="O27" i="23"/>
  <c r="P27" i="23"/>
  <c r="Q27" i="23"/>
  <c r="R27" i="23"/>
  <c r="S27" i="23"/>
  <c r="T27" i="23"/>
  <c r="U27" i="23"/>
  <c r="V27" i="23"/>
  <c r="W27" i="23"/>
  <c r="X27" i="23"/>
  <c r="Y27" i="23"/>
  <c r="AD27" i="23"/>
  <c r="AE27" i="23"/>
  <c r="AF27" i="23"/>
  <c r="AG27" i="23"/>
  <c r="N5" i="23" l="1"/>
  <c r="N8" i="23"/>
  <c r="N3" i="23"/>
  <c r="N7" i="23"/>
  <c r="N6" i="23"/>
  <c r="I9" i="23"/>
  <c r="AC27" i="23"/>
  <c r="AB27" i="23"/>
  <c r="AA27" i="23"/>
  <c r="F2" i="26"/>
  <c r="F3" i="26"/>
  <c r="F4" i="26"/>
  <c r="F5" i="26"/>
  <c r="F6" i="26"/>
  <c r="F7" i="26"/>
  <c r="F8" i="26"/>
  <c r="F9" i="26"/>
  <c r="F10" i="26"/>
  <c r="N2" i="26"/>
  <c r="G3" i="26"/>
  <c r="H3" i="26"/>
  <c r="I3" i="26"/>
  <c r="J3" i="26"/>
  <c r="K3" i="26"/>
  <c r="L3" i="26"/>
  <c r="M3" i="26"/>
  <c r="G4" i="26"/>
  <c r="H4" i="26"/>
  <c r="I4" i="26"/>
  <c r="J4" i="26"/>
  <c r="K4" i="26"/>
  <c r="L4" i="26"/>
  <c r="M4" i="26"/>
  <c r="G5" i="26"/>
  <c r="H5" i="26"/>
  <c r="I5" i="26"/>
  <c r="J5" i="26"/>
  <c r="K5" i="26"/>
  <c r="L5" i="26"/>
  <c r="M5" i="26"/>
  <c r="G6" i="26"/>
  <c r="H6" i="26"/>
  <c r="I6" i="26"/>
  <c r="J6" i="26"/>
  <c r="K6" i="26"/>
  <c r="L6" i="26"/>
  <c r="M6" i="26"/>
  <c r="G7" i="26"/>
  <c r="H7" i="26"/>
  <c r="I7" i="26"/>
  <c r="J7" i="26"/>
  <c r="K7" i="26"/>
  <c r="L7" i="26"/>
  <c r="M7" i="26"/>
  <c r="G8" i="26"/>
  <c r="H8" i="26"/>
  <c r="I8" i="26"/>
  <c r="J8" i="26"/>
  <c r="K8" i="26"/>
  <c r="L8" i="26"/>
  <c r="M8" i="26"/>
  <c r="G9" i="26"/>
  <c r="H9" i="26"/>
  <c r="I9" i="26"/>
  <c r="J9" i="26"/>
  <c r="K9" i="26"/>
  <c r="L9" i="26"/>
  <c r="M9" i="26"/>
  <c r="G10" i="26"/>
  <c r="H10" i="26"/>
  <c r="I10" i="26"/>
  <c r="J10" i="26"/>
  <c r="K10" i="26"/>
  <c r="L10" i="26"/>
  <c r="M10" i="26"/>
  <c r="G11" i="26"/>
  <c r="H11" i="26"/>
  <c r="I11" i="26"/>
  <c r="J11" i="26"/>
  <c r="K11" i="26"/>
  <c r="L11" i="26"/>
  <c r="M11" i="26"/>
  <c r="G12" i="26"/>
  <c r="H12" i="26"/>
  <c r="I12" i="26"/>
  <c r="J12" i="26"/>
  <c r="K12" i="26"/>
  <c r="L12" i="26"/>
  <c r="M12" i="26"/>
  <c r="G13" i="26"/>
  <c r="H13" i="26"/>
  <c r="I13" i="26"/>
  <c r="J13" i="26"/>
  <c r="K13" i="26"/>
  <c r="L13" i="26"/>
  <c r="M13" i="26"/>
  <c r="G14" i="26"/>
  <c r="H14" i="26"/>
  <c r="I14" i="26"/>
  <c r="J14" i="26"/>
  <c r="K14" i="26"/>
  <c r="L14" i="26"/>
  <c r="M14" i="26"/>
  <c r="G15" i="26"/>
  <c r="H15" i="26"/>
  <c r="I15" i="26"/>
  <c r="J15" i="26"/>
  <c r="K15" i="26"/>
  <c r="L15" i="26"/>
  <c r="M15" i="26"/>
  <c r="G16" i="26"/>
  <c r="H16" i="26"/>
  <c r="I16" i="26"/>
  <c r="J16" i="26"/>
  <c r="K16" i="26"/>
  <c r="L16" i="26"/>
  <c r="M16" i="26"/>
  <c r="G17" i="26"/>
  <c r="H17" i="26"/>
  <c r="I17" i="26"/>
  <c r="J17" i="26"/>
  <c r="K17" i="26"/>
  <c r="L17" i="26"/>
  <c r="M17" i="26"/>
  <c r="G18" i="26"/>
  <c r="H18" i="26"/>
  <c r="I18" i="26"/>
  <c r="J18" i="26"/>
  <c r="K18" i="26"/>
  <c r="L18" i="26"/>
  <c r="M18" i="26"/>
  <c r="G19" i="26"/>
  <c r="H19" i="26"/>
  <c r="I19" i="26"/>
  <c r="J19" i="26"/>
  <c r="K19" i="26"/>
  <c r="L19" i="26"/>
  <c r="M19" i="26"/>
  <c r="G20" i="26"/>
  <c r="H20" i="26"/>
  <c r="I20" i="26"/>
  <c r="J20" i="26"/>
  <c r="K20" i="26"/>
  <c r="L20" i="26"/>
  <c r="M20" i="26"/>
  <c r="G21" i="26"/>
  <c r="H21" i="26"/>
  <c r="I21" i="26"/>
  <c r="J21" i="26"/>
  <c r="K21" i="26"/>
  <c r="L21" i="26"/>
  <c r="M21" i="26"/>
  <c r="G22" i="26"/>
  <c r="H22" i="26"/>
  <c r="I22" i="26"/>
  <c r="J22" i="26"/>
  <c r="K22" i="26"/>
  <c r="L22" i="26"/>
  <c r="M22" i="26"/>
  <c r="G23" i="26"/>
  <c r="H23" i="26"/>
  <c r="I23" i="26"/>
  <c r="J23" i="26"/>
  <c r="K23" i="26"/>
  <c r="L23" i="26"/>
  <c r="M23" i="26"/>
  <c r="G24" i="26"/>
  <c r="H24" i="26"/>
  <c r="I24" i="26"/>
  <c r="J24" i="26"/>
  <c r="K24" i="26"/>
  <c r="L24" i="26"/>
  <c r="M24" i="26"/>
  <c r="G25" i="26"/>
  <c r="H25" i="26"/>
  <c r="I25" i="26"/>
  <c r="J25" i="26"/>
  <c r="K25" i="26"/>
  <c r="L25" i="26"/>
  <c r="M25" i="26"/>
  <c r="G26" i="26"/>
  <c r="H26" i="26"/>
  <c r="I26" i="26"/>
  <c r="J26" i="26"/>
  <c r="K26" i="26"/>
  <c r="L26" i="26"/>
  <c r="M26" i="26"/>
  <c r="G27" i="26"/>
  <c r="H27" i="26"/>
  <c r="I27" i="26"/>
  <c r="J27" i="26"/>
  <c r="K27" i="26"/>
  <c r="L27" i="26"/>
  <c r="M27" i="26"/>
  <c r="G28" i="26"/>
  <c r="H28" i="26"/>
  <c r="I28" i="26"/>
  <c r="J28" i="26"/>
  <c r="K28" i="26"/>
  <c r="L28" i="26"/>
  <c r="M28" i="26"/>
  <c r="G29" i="26"/>
  <c r="H29" i="26"/>
  <c r="I29" i="26"/>
  <c r="J29" i="26"/>
  <c r="K29" i="26"/>
  <c r="L29" i="26"/>
  <c r="M29" i="26"/>
  <c r="G30" i="26"/>
  <c r="H30" i="26"/>
  <c r="I30" i="26"/>
  <c r="J30" i="26"/>
  <c r="K30" i="26"/>
  <c r="L30" i="26"/>
  <c r="M30" i="26"/>
  <c r="G31" i="26"/>
  <c r="H31" i="26"/>
  <c r="I31" i="26"/>
  <c r="J31" i="26"/>
  <c r="K31" i="26"/>
  <c r="L31" i="26"/>
  <c r="M31" i="26"/>
  <c r="G32" i="26"/>
  <c r="H32" i="26"/>
  <c r="I32" i="26"/>
  <c r="J32" i="26"/>
  <c r="K32" i="26"/>
  <c r="L32" i="26"/>
  <c r="M32" i="26"/>
  <c r="G33" i="26"/>
  <c r="H33" i="26"/>
  <c r="I33" i="26"/>
  <c r="J33" i="26"/>
  <c r="K33" i="26"/>
  <c r="L33" i="26"/>
  <c r="M33" i="26"/>
  <c r="G34" i="26"/>
  <c r="H34" i="26"/>
  <c r="I34" i="26"/>
  <c r="J34" i="26"/>
  <c r="K34" i="26"/>
  <c r="L34" i="26"/>
  <c r="M34" i="26"/>
  <c r="G35" i="26"/>
  <c r="H35" i="26"/>
  <c r="I35" i="26"/>
  <c r="J35" i="26"/>
  <c r="K35" i="26"/>
  <c r="L35" i="26"/>
  <c r="M35" i="26"/>
  <c r="G36" i="26"/>
  <c r="H36" i="26"/>
  <c r="I36" i="26"/>
  <c r="J36" i="26"/>
  <c r="K36" i="26"/>
  <c r="L36" i="26"/>
  <c r="M36" i="26"/>
  <c r="G37" i="26"/>
  <c r="H37" i="26"/>
  <c r="I37" i="26"/>
  <c r="J37" i="26"/>
  <c r="K37" i="26"/>
  <c r="L37" i="26"/>
  <c r="M37" i="26"/>
  <c r="G38" i="26"/>
  <c r="H38" i="26"/>
  <c r="I38" i="26"/>
  <c r="J38" i="26"/>
  <c r="K38" i="26"/>
  <c r="L38" i="26"/>
  <c r="M38" i="26"/>
  <c r="G39" i="26"/>
  <c r="H39" i="26"/>
  <c r="I39" i="26"/>
  <c r="J39" i="26"/>
  <c r="K39" i="26"/>
  <c r="L39" i="26"/>
  <c r="M39" i="26"/>
  <c r="G40" i="26"/>
  <c r="H40" i="26"/>
  <c r="I40" i="26"/>
  <c r="J40" i="26"/>
  <c r="K40" i="26"/>
  <c r="L40" i="26"/>
  <c r="M40" i="26"/>
  <c r="G41" i="26"/>
  <c r="H41" i="26"/>
  <c r="I41" i="26"/>
  <c r="J41" i="26"/>
  <c r="K41" i="26"/>
  <c r="L41" i="26"/>
  <c r="M41" i="26"/>
  <c r="G42" i="26"/>
  <c r="H42" i="26"/>
  <c r="I42" i="26"/>
  <c r="J42" i="26"/>
  <c r="K42" i="26"/>
  <c r="L42" i="26"/>
  <c r="M42" i="26"/>
  <c r="G43" i="26"/>
  <c r="H43" i="26"/>
  <c r="I43" i="26"/>
  <c r="J43" i="26"/>
  <c r="K43" i="26"/>
  <c r="L43" i="26"/>
  <c r="M43" i="26"/>
  <c r="G44" i="26"/>
  <c r="H44" i="26"/>
  <c r="I44" i="26"/>
  <c r="J44" i="26"/>
  <c r="K44" i="26"/>
  <c r="L44" i="26"/>
  <c r="M44" i="26"/>
  <c r="G45" i="26"/>
  <c r="H45" i="26"/>
  <c r="I45" i="26"/>
  <c r="J45" i="26"/>
  <c r="K45" i="26"/>
  <c r="L45" i="26"/>
  <c r="M45" i="26"/>
  <c r="G46" i="26"/>
  <c r="H46" i="26"/>
  <c r="I46" i="26"/>
  <c r="J46" i="26"/>
  <c r="K46" i="26"/>
  <c r="L46" i="26"/>
  <c r="M46" i="26"/>
  <c r="G47" i="26"/>
  <c r="H47" i="26"/>
  <c r="I47" i="26"/>
  <c r="J47" i="26"/>
  <c r="K47" i="26"/>
  <c r="L47" i="26"/>
  <c r="M47" i="26"/>
  <c r="G48" i="26"/>
  <c r="H48" i="26"/>
  <c r="I48" i="26"/>
  <c r="J48" i="26"/>
  <c r="K48" i="26"/>
  <c r="L48" i="26"/>
  <c r="M48" i="26"/>
  <c r="G49" i="26"/>
  <c r="H49" i="26"/>
  <c r="I49" i="26"/>
  <c r="J49" i="26"/>
  <c r="K49" i="26"/>
  <c r="L49" i="26"/>
  <c r="M49" i="26"/>
  <c r="G50" i="26"/>
  <c r="H50" i="26"/>
  <c r="I50" i="26"/>
  <c r="J50" i="26"/>
  <c r="K50" i="26"/>
  <c r="L50" i="26"/>
  <c r="M50" i="26"/>
  <c r="G51" i="26"/>
  <c r="H51" i="26"/>
  <c r="I51" i="26"/>
  <c r="J51" i="26"/>
  <c r="K51" i="26"/>
  <c r="L51" i="26"/>
  <c r="M51" i="26"/>
  <c r="G52" i="26"/>
  <c r="H52" i="26"/>
  <c r="I52" i="26"/>
  <c r="J52" i="26"/>
  <c r="K52" i="26"/>
  <c r="L52" i="26"/>
  <c r="M52" i="26"/>
  <c r="G53" i="26"/>
  <c r="H53" i="26"/>
  <c r="I53" i="26"/>
  <c r="J53" i="26"/>
  <c r="K53" i="26"/>
  <c r="L53" i="26"/>
  <c r="M53" i="26"/>
  <c r="H2" i="26"/>
  <c r="I2" i="26"/>
  <c r="J2" i="26"/>
  <c r="K2" i="26"/>
  <c r="L2" i="26"/>
  <c r="M2" i="26"/>
  <c r="G2" i="26"/>
  <c r="D23" i="26"/>
  <c r="AP4" i="20"/>
  <c r="AO4" i="20"/>
  <c r="AC1" i="26" s="1"/>
  <c r="AM4" i="20"/>
  <c r="AL4" i="20"/>
  <c r="AB1" i="26" s="1"/>
  <c r="AJ4" i="20"/>
  <c r="AI4" i="20"/>
  <c r="AA1" i="26" s="1"/>
  <c r="AG4" i="20"/>
  <c r="AF4" i="20"/>
  <c r="Z1" i="26" s="1"/>
  <c r="AD4" i="20"/>
  <c r="AC4" i="20"/>
  <c r="Y1" i="26" s="1"/>
  <c r="AA4" i="20"/>
  <c r="Z4" i="20"/>
  <c r="X1" i="26" s="1"/>
  <c r="X4" i="20"/>
  <c r="W4" i="20"/>
  <c r="W1" i="26" s="1"/>
  <c r="T4" i="20"/>
  <c r="V1" i="26" s="1"/>
  <c r="U4" i="20"/>
  <c r="I10" i="23" l="1"/>
  <c r="N9" i="23"/>
  <c r="N30" i="20"/>
  <c r="P5" i="20" l="1"/>
  <c r="N10" i="23"/>
  <c r="I11" i="23"/>
  <c r="AH56" i="20"/>
  <c r="AH26" i="20"/>
  <c r="AH41" i="20"/>
  <c r="AH37" i="20"/>
  <c r="AH42" i="20"/>
  <c r="AH46" i="20"/>
  <c r="AH55" i="20"/>
  <c r="AH38" i="20"/>
  <c r="AH39" i="20"/>
  <c r="AH54" i="20"/>
  <c r="AH34" i="20"/>
  <c r="AH45" i="20"/>
  <c r="AH18" i="20"/>
  <c r="AH53" i="20"/>
  <c r="AH32" i="20"/>
  <c r="AH40" i="20"/>
  <c r="AH52" i="20"/>
  <c r="AH44" i="20"/>
  <c r="AH43" i="20"/>
  <c r="AH51" i="20"/>
  <c r="AH50" i="20"/>
  <c r="AH29" i="20"/>
  <c r="AH49" i="20"/>
  <c r="AH48" i="20"/>
  <c r="AH35" i="20"/>
  <c r="AH36" i="20"/>
  <c r="AH47" i="20"/>
  <c r="AH5" i="20"/>
  <c r="AE54" i="20"/>
  <c r="AE56" i="20"/>
  <c r="AE37" i="20"/>
  <c r="AE43" i="20"/>
  <c r="AE38" i="20"/>
  <c r="AE55" i="20"/>
  <c r="AE46" i="20"/>
  <c r="AE39" i="20"/>
  <c r="AE45" i="20"/>
  <c r="AE30" i="20"/>
  <c r="AE53" i="20"/>
  <c r="AE52" i="20"/>
  <c r="AE33" i="20"/>
  <c r="AE51" i="20"/>
  <c r="AE44" i="20"/>
  <c r="AE42" i="20"/>
  <c r="AE50" i="20"/>
  <c r="AE34" i="20"/>
  <c r="AE31" i="20"/>
  <c r="AE49" i="20"/>
  <c r="AE40" i="20"/>
  <c r="AE35" i="20"/>
  <c r="AE48" i="20"/>
  <c r="AE36" i="20"/>
  <c r="AE41" i="20"/>
  <c r="AE47" i="20"/>
  <c r="AE5" i="20"/>
  <c r="AB56" i="20"/>
  <c r="AB55" i="20"/>
  <c r="AB43" i="20"/>
  <c r="AB54" i="20"/>
  <c r="AB41" i="20"/>
  <c r="AB53" i="20"/>
  <c r="AB42" i="20"/>
  <c r="AB39" i="20"/>
  <c r="AB36" i="20"/>
  <c r="AB35" i="20"/>
  <c r="AB52" i="20"/>
  <c r="AB51" i="20"/>
  <c r="AB50" i="20"/>
  <c r="AB49" i="20"/>
  <c r="AB48" i="20"/>
  <c r="AB47" i="20"/>
  <c r="AB46" i="20"/>
  <c r="AB45" i="20"/>
  <c r="AB44" i="20"/>
  <c r="AB40" i="20"/>
  <c r="AB34" i="20"/>
  <c r="Y56" i="20"/>
  <c r="Y45" i="20"/>
  <c r="Y55" i="20"/>
  <c r="Y53" i="20"/>
  <c r="Y42" i="20"/>
  <c r="Y34" i="20"/>
  <c r="Y41" i="20"/>
  <c r="Y33" i="20"/>
  <c r="Y39" i="20"/>
  <c r="Y46" i="20"/>
  <c r="Y38" i="20"/>
  <c r="Y47" i="20"/>
  <c r="Y48" i="20"/>
  <c r="Y50" i="20"/>
  <c r="V45" i="20"/>
  <c r="V56" i="20"/>
  <c r="V39" i="20"/>
  <c r="V55" i="20"/>
  <c r="V38" i="20"/>
  <c r="V47" i="20"/>
  <c r="V54" i="20"/>
  <c r="V48" i="20"/>
  <c r="V53" i="20"/>
  <c r="V46" i="20"/>
  <c r="V44" i="20"/>
  <c r="V42" i="20"/>
  <c r="V35" i="20"/>
  <c r="V49" i="20"/>
  <c r="V33" i="20"/>
  <c r="V37" i="20"/>
  <c r="V50" i="20"/>
  <c r="V51" i="20"/>
  <c r="V32" i="20"/>
  <c r="V43" i="20"/>
  <c r="V52" i="20"/>
  <c r="V41" i="20"/>
  <c r="V40" i="20"/>
  <c r="AE15" i="20"/>
  <c r="Z12" i="26"/>
  <c r="AE11" i="20"/>
  <c r="Z8" i="26"/>
  <c r="AE9" i="20"/>
  <c r="Z6" i="26"/>
  <c r="AE7" i="20"/>
  <c r="Z4" i="26"/>
  <c r="AE26" i="20"/>
  <c r="Z23" i="26"/>
  <c r="AE6" i="20"/>
  <c r="Z3" i="26"/>
  <c r="AE13" i="20"/>
  <c r="Z10" i="26"/>
  <c r="AE22" i="20"/>
  <c r="Z19" i="26"/>
  <c r="AE18" i="20"/>
  <c r="Z15" i="26"/>
  <c r="AE10" i="20"/>
  <c r="Z7" i="26"/>
  <c r="AE12" i="20"/>
  <c r="Z9" i="26"/>
  <c r="AE8" i="20"/>
  <c r="Z5" i="26"/>
  <c r="AE25" i="20"/>
  <c r="Z22" i="26"/>
  <c r="AE14" i="20"/>
  <c r="Z11" i="26"/>
  <c r="AE19" i="20"/>
  <c r="Z16" i="26"/>
  <c r="AE21" i="20"/>
  <c r="Z18" i="26"/>
  <c r="AE24" i="20"/>
  <c r="Z21" i="26"/>
  <c r="AE16" i="20"/>
  <c r="Z13" i="26"/>
  <c r="AE23" i="20"/>
  <c r="Z20" i="26"/>
  <c r="AE27" i="20"/>
  <c r="Z24" i="26"/>
  <c r="AE20" i="20"/>
  <c r="Z17" i="26"/>
  <c r="AE17" i="20"/>
  <c r="Z14" i="26"/>
  <c r="AE28" i="20"/>
  <c r="Z25" i="26"/>
  <c r="AB31" i="20"/>
  <c r="Y28" i="26"/>
  <c r="AB18" i="20"/>
  <c r="Y15" i="26"/>
  <c r="AB12" i="20"/>
  <c r="Y9" i="26"/>
  <c r="AB10" i="20"/>
  <c r="Y7" i="26"/>
  <c r="AB6" i="20"/>
  <c r="Y3" i="26"/>
  <c r="AB27" i="20"/>
  <c r="Y24" i="26"/>
  <c r="AB23" i="20"/>
  <c r="Y20" i="26"/>
  <c r="AB21" i="20"/>
  <c r="Y18" i="26"/>
  <c r="AB19" i="20"/>
  <c r="Y16" i="26"/>
  <c r="AB17" i="20"/>
  <c r="Y14" i="26"/>
  <c r="AB16" i="20"/>
  <c r="Y13" i="26"/>
  <c r="AB14" i="20"/>
  <c r="Y11" i="26"/>
  <c r="AB8" i="20"/>
  <c r="Y5" i="26"/>
  <c r="AB28" i="20"/>
  <c r="Y25" i="26"/>
  <c r="AB22" i="20"/>
  <c r="Y19" i="26"/>
  <c r="AB33" i="20"/>
  <c r="Y30" i="26"/>
  <c r="AB29" i="20"/>
  <c r="Y26" i="26"/>
  <c r="AB25" i="20"/>
  <c r="Y22" i="26"/>
  <c r="AB15" i="20"/>
  <c r="Y12" i="26"/>
  <c r="AB20" i="20"/>
  <c r="Y17" i="26"/>
  <c r="AB13" i="20"/>
  <c r="Y10" i="26"/>
  <c r="AB7" i="20"/>
  <c r="Y4" i="26"/>
  <c r="AB11" i="20"/>
  <c r="Y8" i="26"/>
  <c r="AB9" i="20"/>
  <c r="Y6" i="26"/>
  <c r="AB32" i="20"/>
  <c r="Y29" i="26"/>
  <c r="AB30" i="20"/>
  <c r="Y27" i="26"/>
  <c r="AB26" i="20"/>
  <c r="Y23" i="26"/>
  <c r="AB24" i="20"/>
  <c r="Y21" i="26"/>
  <c r="Y32" i="20"/>
  <c r="X29" i="26"/>
  <c r="Y29" i="20"/>
  <c r="X26" i="26"/>
  <c r="Y10" i="20"/>
  <c r="X7" i="26"/>
  <c r="Y28" i="20"/>
  <c r="X25" i="26"/>
  <c r="Y12" i="20"/>
  <c r="X9" i="26"/>
  <c r="Y6" i="20"/>
  <c r="X3" i="26"/>
  <c r="Y26" i="20"/>
  <c r="X23" i="26"/>
  <c r="Y24" i="20"/>
  <c r="X21" i="26"/>
  <c r="Y18" i="20"/>
  <c r="X15" i="26"/>
  <c r="Y20" i="20"/>
  <c r="X17" i="26"/>
  <c r="Y17" i="20"/>
  <c r="X14" i="26"/>
  <c r="Y16" i="20"/>
  <c r="X13" i="26"/>
  <c r="Y13" i="20"/>
  <c r="X10" i="26"/>
  <c r="Y14" i="20"/>
  <c r="X11" i="26"/>
  <c r="Y19" i="20"/>
  <c r="X16" i="26"/>
  <c r="Y22" i="20"/>
  <c r="X19" i="26"/>
  <c r="Y31" i="20"/>
  <c r="X28" i="26"/>
  <c r="Y30" i="20"/>
  <c r="X27" i="26"/>
  <c r="Y27" i="20"/>
  <c r="X24" i="26"/>
  <c r="Y8" i="20"/>
  <c r="X5" i="26"/>
  <c r="Y25" i="20"/>
  <c r="X22" i="26"/>
  <c r="Y23" i="20"/>
  <c r="X20" i="26"/>
  <c r="Y21" i="20"/>
  <c r="X18" i="26"/>
  <c r="Y15" i="20"/>
  <c r="X12" i="26"/>
  <c r="Y7" i="20"/>
  <c r="X4" i="26"/>
  <c r="Y11" i="20"/>
  <c r="X8" i="26"/>
  <c r="Y9" i="20"/>
  <c r="X6" i="26"/>
  <c r="V24" i="20"/>
  <c r="W21" i="26"/>
  <c r="V12" i="20"/>
  <c r="W9" i="26"/>
  <c r="V16" i="20"/>
  <c r="W13" i="26"/>
  <c r="V23" i="20"/>
  <c r="W20" i="26"/>
  <c r="V10" i="20"/>
  <c r="W7" i="26"/>
  <c r="V30" i="20"/>
  <c r="W27" i="26"/>
  <c r="V28" i="20"/>
  <c r="W25" i="26"/>
  <c r="V26" i="20"/>
  <c r="W23" i="26"/>
  <c r="V17" i="20"/>
  <c r="W14" i="26"/>
  <c r="V21" i="20"/>
  <c r="W18" i="26"/>
  <c r="V13" i="20"/>
  <c r="W10" i="26"/>
  <c r="V29" i="20"/>
  <c r="W26" i="26"/>
  <c r="V6" i="20"/>
  <c r="W3" i="26"/>
  <c r="V14" i="20"/>
  <c r="W11" i="26"/>
  <c r="V22" i="20"/>
  <c r="W19" i="26"/>
  <c r="V31" i="20"/>
  <c r="W28" i="26"/>
  <c r="V20" i="20"/>
  <c r="W17" i="26"/>
  <c r="V18" i="20"/>
  <c r="W15" i="26"/>
  <c r="V19" i="20"/>
  <c r="W16" i="26"/>
  <c r="V15" i="20"/>
  <c r="W12" i="26"/>
  <c r="V7" i="20"/>
  <c r="W4" i="26"/>
  <c r="V27" i="20"/>
  <c r="W24" i="26"/>
  <c r="V11" i="20"/>
  <c r="W8" i="26"/>
  <c r="V9" i="20"/>
  <c r="W6" i="26"/>
  <c r="V25" i="20"/>
  <c r="W22" i="26"/>
  <c r="V8" i="20"/>
  <c r="W5" i="26"/>
  <c r="V33" i="26"/>
  <c r="V20" i="26"/>
  <c r="V18" i="26"/>
  <c r="V25" i="26"/>
  <c r="V14" i="26"/>
  <c r="V13" i="26"/>
  <c r="V11" i="26"/>
  <c r="V9" i="26"/>
  <c r="V7" i="26"/>
  <c r="V19" i="26"/>
  <c r="V3" i="26"/>
  <c r="V24" i="26"/>
  <c r="V31" i="26"/>
  <c r="V21" i="26"/>
  <c r="V12" i="26"/>
  <c r="O26" i="20"/>
  <c r="V23" i="26"/>
  <c r="V17" i="26"/>
  <c r="V35" i="26"/>
  <c r="V30" i="26"/>
  <c r="V27" i="26"/>
  <c r="V28" i="26"/>
  <c r="V5" i="26"/>
  <c r="V29" i="26"/>
  <c r="V34" i="26"/>
  <c r="V26" i="26"/>
  <c r="V8" i="26"/>
  <c r="V6" i="26"/>
  <c r="V22" i="26"/>
  <c r="V16" i="26"/>
  <c r="V4" i="26"/>
  <c r="V10" i="26"/>
  <c r="O18" i="20"/>
  <c r="V15" i="26"/>
  <c r="P35" i="20"/>
  <c r="AC8" i="26"/>
  <c r="AC3" i="26"/>
  <c r="AC25" i="26"/>
  <c r="AC11" i="26"/>
  <c r="AC12" i="26"/>
  <c r="AC9" i="26"/>
  <c r="AC20" i="26"/>
  <c r="AC28" i="26"/>
  <c r="AC29" i="26"/>
  <c r="AB10" i="26"/>
  <c r="S29" i="20"/>
  <c r="S8" i="20"/>
  <c r="S34" i="20"/>
  <c r="S21" i="20"/>
  <c r="S16" i="20"/>
  <c r="S24" i="20"/>
  <c r="S15" i="20"/>
  <c r="S32" i="20"/>
  <c r="S28" i="20"/>
  <c r="S14" i="20"/>
  <c r="S23" i="20"/>
  <c r="S10" i="20"/>
  <c r="S20" i="20"/>
  <c r="S11" i="20"/>
  <c r="S7" i="20"/>
  <c r="S6" i="20"/>
  <c r="S22" i="20"/>
  <c r="S13" i="20"/>
  <c r="S30" i="20"/>
  <c r="S38" i="20"/>
  <c r="S9" i="20"/>
  <c r="S27" i="20"/>
  <c r="S18" i="20"/>
  <c r="S33" i="20"/>
  <c r="S17" i="20"/>
  <c r="S26" i="20"/>
  <c r="S12" i="20"/>
  <c r="AC19" i="26"/>
  <c r="AC45" i="26"/>
  <c r="AC48" i="26"/>
  <c r="AC47" i="26"/>
  <c r="AC46" i="26"/>
  <c r="AC31" i="26"/>
  <c r="AC21" i="26"/>
  <c r="N11" i="23" l="1"/>
  <c r="N8" i="20" s="1"/>
  <c r="I12" i="23"/>
  <c r="AH8" i="20"/>
  <c r="O8" i="20"/>
  <c r="AE32" i="20"/>
  <c r="O32" i="20"/>
  <c r="AH30" i="20"/>
  <c r="O30" i="20"/>
  <c r="Q30" i="20" s="1"/>
  <c r="AH31" i="20"/>
  <c r="O31" i="20"/>
  <c r="AB37" i="20"/>
  <c r="O37" i="20"/>
  <c r="AH9" i="20"/>
  <c r="O9" i="20"/>
  <c r="AH19" i="20"/>
  <c r="O19" i="20"/>
  <c r="AH13" i="20"/>
  <c r="O13" i="20"/>
  <c r="AH7" i="20"/>
  <c r="O7" i="20"/>
  <c r="AH11" i="20"/>
  <c r="O11" i="20"/>
  <c r="AH25" i="20"/>
  <c r="O25" i="20"/>
  <c r="AE29" i="20"/>
  <c r="O29" i="20"/>
  <c r="AH22" i="20"/>
  <c r="O22" i="20"/>
  <c r="AH12" i="20"/>
  <c r="O12" i="20"/>
  <c r="AH27" i="20"/>
  <c r="O27" i="20"/>
  <c r="AH24" i="20"/>
  <c r="O24" i="20"/>
  <c r="AH6" i="20"/>
  <c r="O6" i="20"/>
  <c r="AH15" i="20"/>
  <c r="O15" i="20"/>
  <c r="AH20" i="20"/>
  <c r="O20" i="20"/>
  <c r="AH33" i="20"/>
  <c r="O33" i="20"/>
  <c r="AB38" i="20"/>
  <c r="O38" i="20"/>
  <c r="O16" i="20"/>
  <c r="AH16" i="20"/>
  <c r="O14" i="20"/>
  <c r="AH14" i="20"/>
  <c r="AH17" i="20"/>
  <c r="O17" i="20"/>
  <c r="AH10" i="20"/>
  <c r="O10" i="20"/>
  <c r="O21" i="20"/>
  <c r="AH21" i="20"/>
  <c r="O23" i="20"/>
  <c r="AH23" i="20"/>
  <c r="O28" i="20"/>
  <c r="AH28" i="20"/>
  <c r="V34" i="20"/>
  <c r="O34" i="20"/>
  <c r="S46" i="20"/>
  <c r="O46" i="20"/>
  <c r="V52" i="26"/>
  <c r="O55" i="20"/>
  <c r="S51" i="20"/>
  <c r="O51" i="20"/>
  <c r="X37" i="26"/>
  <c r="Y40" i="20"/>
  <c r="Y54" i="20"/>
  <c r="X51" i="26"/>
  <c r="X40" i="26"/>
  <c r="Y43" i="20"/>
  <c r="Y44" i="20"/>
  <c r="X41" i="26"/>
  <c r="X33" i="26"/>
  <c r="Y36" i="20"/>
  <c r="X34" i="26"/>
  <c r="Y37" i="20"/>
  <c r="Y35" i="20"/>
  <c r="X32" i="26"/>
  <c r="Y49" i="20"/>
  <c r="X46" i="26"/>
  <c r="Y51" i="20"/>
  <c r="X48" i="26"/>
  <c r="Y52" i="20"/>
  <c r="X49" i="26"/>
  <c r="O36" i="20"/>
  <c r="V36" i="20"/>
  <c r="S54" i="20"/>
  <c r="O54" i="20"/>
  <c r="O49" i="20"/>
  <c r="V46" i="26"/>
  <c r="S56" i="20"/>
  <c r="O56" i="20"/>
  <c r="V36" i="26"/>
  <c r="O39" i="20"/>
  <c r="S47" i="20"/>
  <c r="O47" i="20"/>
  <c r="V45" i="26"/>
  <c r="O48" i="20"/>
  <c r="S40" i="20"/>
  <c r="O40" i="20"/>
  <c r="O42" i="20"/>
  <c r="S42" i="20"/>
  <c r="O35" i="20"/>
  <c r="S35" i="20"/>
  <c r="V32" i="26"/>
  <c r="O44" i="20"/>
  <c r="S44" i="20"/>
  <c r="O50" i="20"/>
  <c r="S50" i="20"/>
  <c r="V42" i="26"/>
  <c r="O45" i="20"/>
  <c r="O53" i="20"/>
  <c r="V50" i="26"/>
  <c r="V49" i="26"/>
  <c r="O52" i="20"/>
  <c r="S43" i="20"/>
  <c r="O43" i="20"/>
  <c r="S41" i="20"/>
  <c r="O41" i="20"/>
  <c r="S5" i="20"/>
  <c r="O5" i="20"/>
  <c r="AC18" i="26"/>
  <c r="AC39" i="26"/>
  <c r="AC49" i="26"/>
  <c r="AC10" i="26"/>
  <c r="AC2" i="26"/>
  <c r="AC27" i="26"/>
  <c r="AC36" i="26"/>
  <c r="AC30" i="26"/>
  <c r="AC38" i="26"/>
  <c r="AC22" i="26"/>
  <c r="AC40" i="26"/>
  <c r="AC37" i="26"/>
  <c r="AB5" i="26"/>
  <c r="AB25" i="26"/>
  <c r="V37" i="26"/>
  <c r="V38" i="26"/>
  <c r="V47" i="26"/>
  <c r="V43" i="26"/>
  <c r="V53" i="26"/>
  <c r="V44" i="26"/>
  <c r="S36" i="20"/>
  <c r="AB21" i="26"/>
  <c r="V48" i="26"/>
  <c r="V40" i="26"/>
  <c r="S39" i="20"/>
  <c r="S25" i="20"/>
  <c r="S49" i="20"/>
  <c r="V41" i="26"/>
  <c r="V39" i="26"/>
  <c r="V51" i="26"/>
  <c r="AB7" i="26"/>
  <c r="S31" i="20"/>
  <c r="S19" i="20"/>
  <c r="S53" i="20"/>
  <c r="S55" i="20"/>
  <c r="S48" i="20"/>
  <c r="S52" i="20"/>
  <c r="S37" i="20"/>
  <c r="S45" i="20"/>
  <c r="AB40" i="26"/>
  <c r="AB39" i="26"/>
  <c r="AB26" i="26"/>
  <c r="AB49" i="26"/>
  <c r="AB3" i="26"/>
  <c r="AB48" i="26"/>
  <c r="AB33" i="26"/>
  <c r="AB23" i="26"/>
  <c r="AB4" i="26"/>
  <c r="AB16" i="26"/>
  <c r="AB32" i="26"/>
  <c r="AB8" i="26"/>
  <c r="AB41" i="26"/>
  <c r="AB47" i="26"/>
  <c r="X52" i="26"/>
  <c r="AB13" i="26"/>
  <c r="AB31" i="26"/>
  <c r="X53" i="26"/>
  <c r="AB18" i="26"/>
  <c r="X39" i="26"/>
  <c r="AB37" i="26"/>
  <c r="AB20" i="26"/>
  <c r="X47" i="26"/>
  <c r="AB22" i="26"/>
  <c r="AB44" i="26"/>
  <c r="AB46" i="26"/>
  <c r="AB24" i="26"/>
  <c r="AB6" i="26"/>
  <c r="AB43" i="26"/>
  <c r="AB50" i="26"/>
  <c r="X50" i="26"/>
  <c r="X36" i="26"/>
  <c r="X31" i="26"/>
  <c r="X35" i="26"/>
  <c r="X42" i="26"/>
  <c r="X45" i="26"/>
  <c r="X44" i="26"/>
  <c r="X38" i="26"/>
  <c r="X43" i="26"/>
  <c r="X30" i="26"/>
  <c r="X2" i="26"/>
  <c r="V2" i="26"/>
  <c r="AC32" i="26"/>
  <c r="AC42" i="26"/>
  <c r="AC13" i="26"/>
  <c r="AC6" i="26"/>
  <c r="AC23" i="26"/>
  <c r="AC24" i="26"/>
  <c r="AC26" i="26"/>
  <c r="AC44" i="26"/>
  <c r="AC52" i="26"/>
  <c r="AC15" i="26"/>
  <c r="AC43" i="26"/>
  <c r="AC5" i="26"/>
  <c r="AC14" i="26"/>
  <c r="AC7" i="26"/>
  <c r="AC53" i="26"/>
  <c r="AC17" i="26"/>
  <c r="Y42" i="26"/>
  <c r="Y39" i="26"/>
  <c r="Y46" i="26"/>
  <c r="Y32" i="26"/>
  <c r="Y2" i="26"/>
  <c r="Y33" i="26"/>
  <c r="Y53" i="26"/>
  <c r="Y48" i="26"/>
  <c r="Y35" i="26"/>
  <c r="Y34" i="26"/>
  <c r="Y43" i="26"/>
  <c r="Y51" i="26"/>
  <c r="Y37" i="26"/>
  <c r="Y45" i="26"/>
  <c r="Y47" i="26"/>
  <c r="Y50" i="26"/>
  <c r="Y49" i="26"/>
  <c r="Y41" i="26"/>
  <c r="Y38" i="26"/>
  <c r="Y36" i="26"/>
  <c r="Y31" i="26"/>
  <c r="Y44" i="26"/>
  <c r="Y40" i="26"/>
  <c r="Y52" i="26"/>
  <c r="Z40" i="26"/>
  <c r="AA29" i="26"/>
  <c r="Z47" i="26"/>
  <c r="AA53" i="26"/>
  <c r="Z46" i="26"/>
  <c r="AA17" i="26"/>
  <c r="Z32" i="26"/>
  <c r="Z41" i="26"/>
  <c r="Z48" i="26"/>
  <c r="AA31" i="26"/>
  <c r="AA20" i="26"/>
  <c r="Z33" i="26"/>
  <c r="AA32" i="26"/>
  <c r="Z50" i="26"/>
  <c r="Z26" i="26"/>
  <c r="AA25" i="26"/>
  <c r="AA36" i="26"/>
  <c r="AA44" i="26"/>
  <c r="AA9" i="26"/>
  <c r="Z27" i="26"/>
  <c r="AA13" i="26"/>
  <c r="AA52" i="26"/>
  <c r="AA41" i="26"/>
  <c r="AA2" i="26"/>
  <c r="Z35" i="26"/>
  <c r="AA11" i="26"/>
  <c r="AA21" i="26"/>
  <c r="AA10" i="26"/>
  <c r="Z43" i="26"/>
  <c r="Z36" i="26"/>
  <c r="Z42" i="26"/>
  <c r="AA23" i="26"/>
  <c r="AA45" i="26"/>
  <c r="Z51" i="26"/>
  <c r="Z44" i="26"/>
  <c r="AA39" i="26"/>
  <c r="Z29" i="26"/>
  <c r="Z52" i="26"/>
  <c r="AA35" i="26"/>
  <c r="AA43" i="26"/>
  <c r="AA15" i="26"/>
  <c r="P24" i="20"/>
  <c r="P22" i="20"/>
  <c r="P21" i="20"/>
  <c r="P18" i="20"/>
  <c r="P47" i="20"/>
  <c r="P31" i="20"/>
  <c r="P15" i="20"/>
  <c r="P41" i="20"/>
  <c r="P8" i="20"/>
  <c r="P6" i="20"/>
  <c r="P52" i="20"/>
  <c r="P20" i="20"/>
  <c r="P51" i="20"/>
  <c r="P19" i="20"/>
  <c r="P50" i="20"/>
  <c r="P49" i="20"/>
  <c r="P30" i="20"/>
  <c r="P45" i="20"/>
  <c r="P29" i="20"/>
  <c r="P13" i="20"/>
  <c r="P40" i="20"/>
  <c r="P23" i="20"/>
  <c r="P54" i="20"/>
  <c r="P53" i="20"/>
  <c r="P36" i="20"/>
  <c r="P17" i="20"/>
  <c r="P32" i="20"/>
  <c r="P14" i="20"/>
  <c r="P44" i="20"/>
  <c r="P28" i="20"/>
  <c r="P12" i="20"/>
  <c r="P9" i="20"/>
  <c r="P55" i="20"/>
  <c r="P33" i="20"/>
  <c r="P16" i="20"/>
  <c r="P43" i="20"/>
  <c r="P27" i="20"/>
  <c r="P11" i="20"/>
  <c r="P25" i="20"/>
  <c r="P56" i="20"/>
  <c r="P39" i="20"/>
  <c r="P7" i="20"/>
  <c r="P38" i="20"/>
  <c r="P37" i="20"/>
  <c r="P34" i="20"/>
  <c r="P48" i="20"/>
  <c r="P46" i="20"/>
  <c r="P42" i="20"/>
  <c r="P26" i="20"/>
  <c r="P10" i="20"/>
  <c r="D3" i="23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2" i="19"/>
  <c r="C5" i="20"/>
  <c r="A6" i="20"/>
  <c r="Q8" i="20" l="1"/>
  <c r="N12" i="23"/>
  <c r="N9" i="20" s="1"/>
  <c r="I13" i="23"/>
  <c r="AB53" i="26"/>
  <c r="AB17" i="26"/>
  <c r="AB29" i="26"/>
  <c r="AB19" i="26"/>
  <c r="AB51" i="26"/>
  <c r="AB45" i="26"/>
  <c r="AB15" i="26"/>
  <c r="AB30" i="26"/>
  <c r="AB52" i="26"/>
  <c r="AB35" i="26"/>
  <c r="AB27" i="26"/>
  <c r="AB38" i="26"/>
  <c r="AB11" i="26"/>
  <c r="AB36" i="26"/>
  <c r="AB34" i="26"/>
  <c r="AB28" i="26"/>
  <c r="AB14" i="26"/>
  <c r="AB42" i="26"/>
  <c r="AB12" i="26"/>
  <c r="AB9" i="26"/>
  <c r="AB2" i="26"/>
  <c r="B5" i="20"/>
  <c r="A2" i="26"/>
  <c r="AC51" i="26"/>
  <c r="AC34" i="26"/>
  <c r="AC33" i="26"/>
  <c r="AC35" i="26"/>
  <c r="AC4" i="26"/>
  <c r="AC50" i="26"/>
  <c r="AC16" i="26"/>
  <c r="AC41" i="26"/>
  <c r="AA7" i="26"/>
  <c r="AA48" i="26"/>
  <c r="AA27" i="26"/>
  <c r="AA40" i="26"/>
  <c r="AA24" i="26"/>
  <c r="AA42" i="26"/>
  <c r="AA49" i="26"/>
  <c r="AA26" i="26"/>
  <c r="AA3" i="26"/>
  <c r="AA30" i="26"/>
  <c r="AA50" i="26"/>
  <c r="AA46" i="26"/>
  <c r="AA19" i="26"/>
  <c r="AA12" i="26"/>
  <c r="AA16" i="26"/>
  <c r="AA8" i="26"/>
  <c r="AA38" i="26"/>
  <c r="AA51" i="26"/>
  <c r="AA28" i="26"/>
  <c r="AA34" i="26"/>
  <c r="AA6" i="26"/>
  <c r="AA5" i="26"/>
  <c r="AA33" i="26"/>
  <c r="AA22" i="26"/>
  <c r="AA4" i="26"/>
  <c r="AA18" i="26"/>
  <c r="AA47" i="26"/>
  <c r="AA14" i="26"/>
  <c r="AA37" i="26"/>
  <c r="Z53" i="26"/>
  <c r="Z49" i="26"/>
  <c r="Z34" i="26"/>
  <c r="Z2" i="26"/>
  <c r="Z37" i="26"/>
  <c r="Z39" i="26"/>
  <c r="Z28" i="26"/>
  <c r="Z38" i="26"/>
  <c r="Z45" i="26"/>
  <c r="Z31" i="26"/>
  <c r="Z30" i="26"/>
  <c r="W41" i="26"/>
  <c r="W37" i="26"/>
  <c r="W49" i="26"/>
  <c r="W34" i="26"/>
  <c r="W52" i="26"/>
  <c r="W42" i="26"/>
  <c r="W32" i="26"/>
  <c r="W43" i="26"/>
  <c r="W51" i="26"/>
  <c r="W44" i="26"/>
  <c r="W39" i="26"/>
  <c r="W48" i="26"/>
  <c r="W2" i="26"/>
  <c r="W45" i="26"/>
  <c r="W29" i="26"/>
  <c r="W30" i="26"/>
  <c r="W47" i="26"/>
  <c r="W36" i="26"/>
  <c r="W40" i="26"/>
  <c r="W35" i="26"/>
  <c r="W31" i="26"/>
  <c r="W50" i="26"/>
  <c r="W33" i="26"/>
  <c r="W38" i="26"/>
  <c r="W53" i="26"/>
  <c r="W46" i="26"/>
  <c r="A7" i="20"/>
  <c r="C6" i="20"/>
  <c r="A3" i="26" s="1"/>
  <c r="D5" i="20"/>
  <c r="BK9" i="20" l="1"/>
  <c r="Q9" i="20"/>
  <c r="N13" i="23"/>
  <c r="N10" i="20" s="1"/>
  <c r="I14" i="23"/>
  <c r="G5" i="20"/>
  <c r="E2" i="26" s="1"/>
  <c r="E5" i="20"/>
  <c r="BK30" i="20"/>
  <c r="A8" i="20"/>
  <c r="F5" i="20"/>
  <c r="D6" i="20"/>
  <c r="G6" i="20" s="1"/>
  <c r="B6" i="20"/>
  <c r="C7" i="20"/>
  <c r="A4" i="26" s="1"/>
  <c r="BK10" i="20" l="1"/>
  <c r="Q10" i="20"/>
  <c r="N14" i="23"/>
  <c r="I15" i="23"/>
  <c r="BK8" i="20"/>
  <c r="E3" i="26"/>
  <c r="C2" i="26"/>
  <c r="D2" i="26"/>
  <c r="A9" i="20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E6" i="20"/>
  <c r="F6" i="20"/>
  <c r="B7" i="20"/>
  <c r="C8" i="20"/>
  <c r="D7" i="20"/>
  <c r="G7" i="20" s="1"/>
  <c r="N11" i="20" l="1"/>
  <c r="N15" i="23"/>
  <c r="N12" i="20" s="1"/>
  <c r="Q12" i="20" s="1"/>
  <c r="I16" i="23"/>
  <c r="E4" i="26"/>
  <c r="D8" i="20"/>
  <c r="G8" i="20" s="1"/>
  <c r="A5" i="26"/>
  <c r="D3" i="26"/>
  <c r="C3" i="26"/>
  <c r="F7" i="20"/>
  <c r="C9" i="20"/>
  <c r="A6" i="26" s="1"/>
  <c r="E7" i="20"/>
  <c r="B8" i="20"/>
  <c r="N16" i="23" l="1"/>
  <c r="I17" i="23"/>
  <c r="BK11" i="20"/>
  <c r="Q11" i="20"/>
  <c r="F8" i="20"/>
  <c r="C4" i="26"/>
  <c r="D4" i="26"/>
  <c r="E5" i="26"/>
  <c r="E8" i="20"/>
  <c r="B9" i="20"/>
  <c r="D9" i="20"/>
  <c r="G9" i="20" s="1"/>
  <c r="C10" i="20"/>
  <c r="A7" i="26" s="1"/>
  <c r="N25" i="20" l="1"/>
  <c r="Q25" i="20" s="1"/>
  <c r="N13" i="20"/>
  <c r="Q13" i="20" s="1"/>
  <c r="I18" i="23"/>
  <c r="N17" i="23"/>
  <c r="D5" i="26"/>
  <c r="C5" i="26"/>
  <c r="E6" i="26"/>
  <c r="D10" i="20"/>
  <c r="G10" i="20" s="1"/>
  <c r="C11" i="20"/>
  <c r="A8" i="26" s="1"/>
  <c r="B10" i="20"/>
  <c r="F9" i="20"/>
  <c r="E9" i="20"/>
  <c r="I19" i="23" l="1"/>
  <c r="N18" i="23"/>
  <c r="N15" i="20" s="1"/>
  <c r="N14" i="20"/>
  <c r="N26" i="20"/>
  <c r="Q26" i="20" s="1"/>
  <c r="E7" i="26"/>
  <c r="C6" i="26"/>
  <c r="D6" i="26"/>
  <c r="B11" i="20"/>
  <c r="C12" i="20"/>
  <c r="A9" i="26" s="1"/>
  <c r="D11" i="20"/>
  <c r="G11" i="20" s="1"/>
  <c r="F10" i="20"/>
  <c r="E10" i="20"/>
  <c r="I20" i="23" l="1"/>
  <c r="N19" i="23"/>
  <c r="N16" i="20" s="1"/>
  <c r="BK15" i="20"/>
  <c r="Q15" i="20"/>
  <c r="BK14" i="20"/>
  <c r="Q14" i="20"/>
  <c r="E8" i="26"/>
  <c r="C7" i="26"/>
  <c r="D7" i="26"/>
  <c r="E11" i="20"/>
  <c r="F11" i="20"/>
  <c r="C13" i="20"/>
  <c r="A10" i="26" s="1"/>
  <c r="B12" i="20"/>
  <c r="D12" i="20"/>
  <c r="G12" i="20" s="1"/>
  <c r="I21" i="23" l="1"/>
  <c r="N20" i="23"/>
  <c r="BK16" i="20"/>
  <c r="Q16" i="20"/>
  <c r="BK25" i="20"/>
  <c r="D8" i="26"/>
  <c r="C8" i="26"/>
  <c r="E9" i="26"/>
  <c r="E12" i="20"/>
  <c r="F12" i="20"/>
  <c r="D13" i="20"/>
  <c r="G13" i="20" s="1"/>
  <c r="C14" i="20"/>
  <c r="A11" i="26" s="1"/>
  <c r="B13" i="20"/>
  <c r="I22" i="23" l="1"/>
  <c r="N21" i="23"/>
  <c r="N28" i="20"/>
  <c r="N17" i="20"/>
  <c r="N6" i="20"/>
  <c r="N7" i="20"/>
  <c r="N27" i="20"/>
  <c r="Q27" i="20" s="1"/>
  <c r="BK26" i="20"/>
  <c r="R9" i="20"/>
  <c r="E10" i="26"/>
  <c r="C9" i="26"/>
  <c r="D9" i="26"/>
  <c r="D14" i="20"/>
  <c r="G14" i="20" s="1"/>
  <c r="B14" i="20"/>
  <c r="C15" i="20"/>
  <c r="A12" i="26" s="1"/>
  <c r="F13" i="20"/>
  <c r="E13" i="20"/>
  <c r="I23" i="23" l="1"/>
  <c r="N22" i="23"/>
  <c r="N34" i="20"/>
  <c r="N29" i="20"/>
  <c r="N18" i="20"/>
  <c r="BK28" i="20"/>
  <c r="Q28" i="20"/>
  <c r="Q17" i="20"/>
  <c r="BK17" i="20"/>
  <c r="R6" i="20"/>
  <c r="Q6" i="20"/>
  <c r="BK6" i="20"/>
  <c r="R7" i="20"/>
  <c r="Q7" i="20"/>
  <c r="BK7" i="20"/>
  <c r="BK12" i="20"/>
  <c r="BK27" i="20"/>
  <c r="R10" i="20"/>
  <c r="D10" i="26"/>
  <c r="C10" i="26"/>
  <c r="E11" i="26"/>
  <c r="R14" i="20"/>
  <c r="D15" i="20"/>
  <c r="G15" i="20" s="1"/>
  <c r="B15" i="20"/>
  <c r="C16" i="20"/>
  <c r="A13" i="26" s="1"/>
  <c r="F14" i="20"/>
  <c r="E14" i="20"/>
  <c r="I24" i="23" l="1"/>
  <c r="N23" i="23"/>
  <c r="N35" i="20"/>
  <c r="N19" i="20"/>
  <c r="BK29" i="20"/>
  <c r="Q29" i="20"/>
  <c r="Q18" i="20"/>
  <c r="BK18" i="20"/>
  <c r="Q34" i="20"/>
  <c r="BK34" i="20"/>
  <c r="BK13" i="20"/>
  <c r="R11" i="20"/>
  <c r="E12" i="26"/>
  <c r="C11" i="26"/>
  <c r="D11" i="26"/>
  <c r="R15" i="20"/>
  <c r="R16" i="20"/>
  <c r="F15" i="20"/>
  <c r="E15" i="20"/>
  <c r="D16" i="20"/>
  <c r="G16" i="20" s="1"/>
  <c r="C17" i="20"/>
  <c r="A14" i="26" s="1"/>
  <c r="B16" i="20"/>
  <c r="I25" i="23" l="1"/>
  <c r="N24" i="23"/>
  <c r="N36" i="20"/>
  <c r="N20" i="20"/>
  <c r="BK35" i="20"/>
  <c r="Q35" i="20"/>
  <c r="BK19" i="20"/>
  <c r="Q19" i="20"/>
  <c r="R8" i="20"/>
  <c r="D12" i="26"/>
  <c r="E13" i="26"/>
  <c r="C12" i="26"/>
  <c r="D17" i="20"/>
  <c r="G17" i="20" s="1"/>
  <c r="C18" i="20"/>
  <c r="A15" i="26" s="1"/>
  <c r="B17" i="20"/>
  <c r="E16" i="20"/>
  <c r="F16" i="20"/>
  <c r="I26" i="23" l="1"/>
  <c r="N25" i="23"/>
  <c r="N21" i="20"/>
  <c r="N37" i="20"/>
  <c r="BK36" i="20"/>
  <c r="Q36" i="20"/>
  <c r="Q20" i="20"/>
  <c r="BK20" i="20"/>
  <c r="D13" i="26"/>
  <c r="E14" i="26"/>
  <c r="C13" i="26"/>
  <c r="R17" i="20"/>
  <c r="D18" i="20"/>
  <c r="G18" i="20" s="1"/>
  <c r="C19" i="20"/>
  <c r="A16" i="26" s="1"/>
  <c r="B18" i="20"/>
  <c r="E17" i="20"/>
  <c r="F17" i="20"/>
  <c r="I27" i="23" l="1"/>
  <c r="N27" i="23" s="1"/>
  <c r="N26" i="23"/>
  <c r="BK21" i="20"/>
  <c r="R21" i="20"/>
  <c r="Q21" i="20"/>
  <c r="BK37" i="20"/>
  <c r="Q37" i="20"/>
  <c r="E15" i="26"/>
  <c r="C14" i="26"/>
  <c r="D14" i="26"/>
  <c r="R18" i="20"/>
  <c r="R19" i="20"/>
  <c r="E18" i="20"/>
  <c r="F18" i="20"/>
  <c r="C20" i="20"/>
  <c r="A17" i="26" s="1"/>
  <c r="D19" i="20"/>
  <c r="G19" i="20" s="1"/>
  <c r="B19" i="20"/>
  <c r="N5" i="20" l="1"/>
  <c r="N53" i="20"/>
  <c r="N49" i="20"/>
  <c r="N44" i="20"/>
  <c r="N51" i="20"/>
  <c r="N43" i="20"/>
  <c r="N56" i="20"/>
  <c r="N54" i="20"/>
  <c r="N39" i="20"/>
  <c r="N24" i="20"/>
  <c r="N48" i="20"/>
  <c r="N32" i="20"/>
  <c r="N33" i="20"/>
  <c r="N40" i="20"/>
  <c r="N45" i="20"/>
  <c r="N55" i="20"/>
  <c r="N41" i="20"/>
  <c r="N50" i="20"/>
  <c r="N46" i="20"/>
  <c r="N52" i="20"/>
  <c r="N47" i="20"/>
  <c r="N42" i="20"/>
  <c r="N23" i="20"/>
  <c r="N31" i="20"/>
  <c r="N22" i="20"/>
  <c r="N38" i="20"/>
  <c r="E16" i="26"/>
  <c r="D15" i="26"/>
  <c r="C15" i="26"/>
  <c r="R28" i="20"/>
  <c r="F19" i="20"/>
  <c r="E19" i="20"/>
  <c r="D20" i="20"/>
  <c r="G20" i="20" s="1"/>
  <c r="C21" i="20"/>
  <c r="A18" i="26" s="1"/>
  <c r="B20" i="20"/>
  <c r="R5" i="20" l="1"/>
  <c r="BK5" i="20"/>
  <c r="Q5" i="20"/>
  <c r="BK53" i="20"/>
  <c r="Q53" i="20"/>
  <c r="BK49" i="20"/>
  <c r="Q49" i="20"/>
  <c r="BK44" i="20"/>
  <c r="Q44" i="20"/>
  <c r="BK51" i="20"/>
  <c r="Q51" i="20"/>
  <c r="BK43" i="20"/>
  <c r="Q43" i="20"/>
  <c r="BK56" i="20"/>
  <c r="Q56" i="20"/>
  <c r="BK54" i="20"/>
  <c r="Q54" i="20"/>
  <c r="BK39" i="20"/>
  <c r="Q39" i="20"/>
  <c r="BK24" i="20"/>
  <c r="Q24" i="20"/>
  <c r="BK48" i="20"/>
  <c r="Q48" i="20"/>
  <c r="BK32" i="20"/>
  <c r="Q32" i="20"/>
  <c r="BK33" i="20"/>
  <c r="Q33" i="20"/>
  <c r="BK40" i="20"/>
  <c r="Q40" i="20"/>
  <c r="BK45" i="20"/>
  <c r="Q45" i="20"/>
  <c r="BK55" i="20"/>
  <c r="Q55" i="20"/>
  <c r="BK41" i="20"/>
  <c r="Q41" i="20"/>
  <c r="BK50" i="20"/>
  <c r="Q50" i="20"/>
  <c r="BK46" i="20"/>
  <c r="Q46" i="20"/>
  <c r="BK52" i="20"/>
  <c r="Q52" i="20"/>
  <c r="BK47" i="20"/>
  <c r="Q47" i="20"/>
  <c r="BK42" i="20"/>
  <c r="Q42" i="20"/>
  <c r="BK23" i="20"/>
  <c r="Q23" i="20"/>
  <c r="BK31" i="20"/>
  <c r="Q31" i="20"/>
  <c r="Q22" i="20"/>
  <c r="BK22" i="20"/>
  <c r="Q38" i="20"/>
  <c r="BK38" i="20"/>
  <c r="E17" i="26"/>
  <c r="D16" i="26"/>
  <c r="C16" i="26"/>
  <c r="R20" i="20"/>
  <c r="R29" i="20"/>
  <c r="D21" i="20"/>
  <c r="G21" i="20" s="1"/>
  <c r="C22" i="20"/>
  <c r="A19" i="26" s="1"/>
  <c r="B21" i="20"/>
  <c r="F20" i="20"/>
  <c r="E20" i="20"/>
  <c r="D17" i="26" l="1"/>
  <c r="E18" i="26"/>
  <c r="C17" i="26"/>
  <c r="R30" i="20"/>
  <c r="B22" i="20"/>
  <c r="C23" i="20"/>
  <c r="A20" i="26" s="1"/>
  <c r="D22" i="20"/>
  <c r="G22" i="20" s="1"/>
  <c r="F21" i="20"/>
  <c r="E21" i="20"/>
  <c r="D18" i="26" l="1"/>
  <c r="C18" i="26"/>
  <c r="E19" i="26"/>
  <c r="R22" i="20"/>
  <c r="R31" i="20"/>
  <c r="D23" i="20"/>
  <c r="G23" i="20" s="1"/>
  <c r="C24" i="20"/>
  <c r="A21" i="26" s="1"/>
  <c r="B23" i="20"/>
  <c r="F22" i="20"/>
  <c r="E22" i="20"/>
  <c r="D19" i="26" l="1"/>
  <c r="E20" i="26"/>
  <c r="C19" i="26"/>
  <c r="R23" i="20"/>
  <c r="R32" i="20"/>
  <c r="F23" i="20"/>
  <c r="E23" i="20"/>
  <c r="D24" i="20"/>
  <c r="G24" i="20" s="1"/>
  <c r="C25" i="20"/>
  <c r="A22" i="26" s="1"/>
  <c r="B24" i="20"/>
  <c r="R27" i="20" l="1"/>
  <c r="R12" i="20"/>
  <c r="E21" i="26"/>
  <c r="R24" i="20"/>
  <c r="C20" i="26"/>
  <c r="D20" i="26"/>
  <c r="R33" i="20"/>
  <c r="D25" i="20"/>
  <c r="G25" i="20" s="1"/>
  <c r="C26" i="20"/>
  <c r="A23" i="26" s="1"/>
  <c r="B25" i="20"/>
  <c r="E24" i="20"/>
  <c r="F24" i="20"/>
  <c r="R13" i="20" l="1"/>
  <c r="D21" i="26"/>
  <c r="C21" i="26"/>
  <c r="E22" i="26"/>
  <c r="R26" i="20"/>
  <c r="R25" i="20"/>
  <c r="R34" i="20"/>
  <c r="B26" i="20"/>
  <c r="D26" i="20"/>
  <c r="G26" i="20" s="1"/>
  <c r="C27" i="20"/>
  <c r="A24" i="26" s="1"/>
  <c r="F25" i="20"/>
  <c r="E25" i="20"/>
  <c r="C22" i="26" l="1"/>
  <c r="E23" i="26"/>
  <c r="D22" i="26"/>
  <c r="R35" i="20"/>
  <c r="C28" i="20"/>
  <c r="A25" i="26" s="1"/>
  <c r="D27" i="20"/>
  <c r="G27" i="20" s="1"/>
  <c r="B27" i="20"/>
  <c r="E26" i="20"/>
  <c r="E24" i="26" l="1"/>
  <c r="C23" i="26"/>
  <c r="R36" i="20"/>
  <c r="D28" i="20"/>
  <c r="G28" i="20" s="1"/>
  <c r="C29" i="20"/>
  <c r="A26" i="26" s="1"/>
  <c r="B28" i="20"/>
  <c r="F27" i="20"/>
  <c r="E27" i="20"/>
  <c r="D24" i="26" l="1"/>
  <c r="C24" i="26"/>
  <c r="E25" i="26"/>
  <c r="R37" i="20"/>
  <c r="D29" i="20"/>
  <c r="G29" i="20" s="1"/>
  <c r="C30" i="20"/>
  <c r="A27" i="26" s="1"/>
  <c r="B29" i="20"/>
  <c r="F28" i="20"/>
  <c r="E28" i="20"/>
  <c r="E26" i="26" l="1"/>
  <c r="D25" i="26"/>
  <c r="C25" i="26"/>
  <c r="R38" i="20"/>
  <c r="D30" i="20"/>
  <c r="G30" i="20" s="1"/>
  <c r="B30" i="20"/>
  <c r="C31" i="20"/>
  <c r="A28" i="26" s="1"/>
  <c r="F29" i="20"/>
  <c r="E29" i="20"/>
  <c r="E27" i="26" l="1"/>
  <c r="C26" i="26"/>
  <c r="D26" i="26"/>
  <c r="R39" i="20"/>
  <c r="D31" i="20"/>
  <c r="G31" i="20" s="1"/>
  <c r="C32" i="20"/>
  <c r="A29" i="26" s="1"/>
  <c r="B31" i="20"/>
  <c r="F30" i="20"/>
  <c r="E30" i="20"/>
  <c r="E28" i="26" l="1"/>
  <c r="C27" i="26"/>
  <c r="D27" i="26"/>
  <c r="R40" i="20"/>
  <c r="B32" i="20"/>
  <c r="D32" i="20"/>
  <c r="G32" i="20" s="1"/>
  <c r="C33" i="20"/>
  <c r="A30" i="26" s="1"/>
  <c r="F31" i="20"/>
  <c r="E31" i="20"/>
  <c r="D28" i="26" l="1"/>
  <c r="E29" i="26"/>
  <c r="C28" i="26"/>
  <c r="R41" i="20"/>
  <c r="F32" i="20"/>
  <c r="E32" i="20"/>
  <c r="D33" i="20"/>
  <c r="G33" i="20" s="1"/>
  <c r="C34" i="20"/>
  <c r="A31" i="26" s="1"/>
  <c r="B33" i="20"/>
  <c r="E30" i="26" l="1"/>
  <c r="C29" i="26"/>
  <c r="D29" i="26"/>
  <c r="R42" i="20"/>
  <c r="D34" i="20"/>
  <c r="G34" i="20" s="1"/>
  <c r="B34" i="20"/>
  <c r="C35" i="20"/>
  <c r="F33" i="20"/>
  <c r="E33" i="20"/>
  <c r="E31" i="26" l="1"/>
  <c r="C30" i="26"/>
  <c r="D30" i="26"/>
  <c r="A32" i="26"/>
  <c r="C36" i="20"/>
  <c r="C37" i="20" s="1"/>
  <c r="C38" i="20" s="1"/>
  <c r="C39" i="20" s="1"/>
  <c r="C40" i="20" s="1"/>
  <c r="C41" i="20" s="1"/>
  <c r="C42" i="20" s="1"/>
  <c r="C43" i="20" s="1"/>
  <c r="C44" i="20" s="1"/>
  <c r="C45" i="20" s="1"/>
  <c r="C46" i="20" s="1"/>
  <c r="C47" i="20" s="1"/>
  <c r="C48" i="20" s="1"/>
  <c r="C49" i="20" s="1"/>
  <c r="C50" i="20" s="1"/>
  <c r="C51" i="20" s="1"/>
  <c r="C52" i="20" s="1"/>
  <c r="C53" i="20" s="1"/>
  <c r="C54" i="20" s="1"/>
  <c r="C55" i="20" s="1"/>
  <c r="C56" i="20" s="1"/>
  <c r="R43" i="20"/>
  <c r="D35" i="20"/>
  <c r="G35" i="20" s="1"/>
  <c r="B35" i="20"/>
  <c r="F34" i="20"/>
  <c r="E34" i="20"/>
  <c r="A33" i="26" l="1"/>
  <c r="E32" i="26"/>
  <c r="C31" i="26"/>
  <c r="D31" i="26"/>
  <c r="R44" i="20"/>
  <c r="B36" i="20"/>
  <c r="D36" i="20"/>
  <c r="G36" i="20" s="1"/>
  <c r="A34" i="26"/>
  <c r="F35" i="20"/>
  <c r="E35" i="20"/>
  <c r="E33" i="26" l="1"/>
  <c r="C32" i="26"/>
  <c r="D32" i="26"/>
  <c r="R45" i="20"/>
  <c r="D37" i="20"/>
  <c r="G37" i="20" s="1"/>
  <c r="A35" i="26"/>
  <c r="B37" i="20"/>
  <c r="F36" i="20"/>
  <c r="E36" i="20"/>
  <c r="E34" i="26" l="1"/>
  <c r="C33" i="26"/>
  <c r="D33" i="26"/>
  <c r="R46" i="20"/>
  <c r="D38" i="20"/>
  <c r="G38" i="20" s="1"/>
  <c r="A36" i="26"/>
  <c r="B38" i="20"/>
  <c r="F37" i="20"/>
  <c r="E37" i="20"/>
  <c r="D34" i="26" l="1"/>
  <c r="E35" i="26"/>
  <c r="C34" i="26"/>
  <c r="R47" i="20"/>
  <c r="D39" i="20"/>
  <c r="G39" i="20" s="1"/>
  <c r="A37" i="26"/>
  <c r="B39" i="20"/>
  <c r="F38" i="20"/>
  <c r="E38" i="20"/>
  <c r="E36" i="26" l="1"/>
  <c r="C35" i="26"/>
  <c r="D35" i="26"/>
  <c r="R48" i="20"/>
  <c r="D40" i="20"/>
  <c r="G40" i="20" s="1"/>
  <c r="A38" i="26"/>
  <c r="B40" i="20"/>
  <c r="F39" i="20"/>
  <c r="E39" i="20"/>
  <c r="E37" i="26" l="1"/>
  <c r="C36" i="26"/>
  <c r="D36" i="26"/>
  <c r="R49" i="20"/>
  <c r="A39" i="26"/>
  <c r="B41" i="20"/>
  <c r="D41" i="20"/>
  <c r="G41" i="20" s="1"/>
  <c r="F40" i="20"/>
  <c r="E40" i="20"/>
  <c r="D37" i="26" l="1"/>
  <c r="E38" i="26"/>
  <c r="C37" i="26"/>
  <c r="R50" i="20"/>
  <c r="F41" i="20"/>
  <c r="E41" i="20"/>
  <c r="D42" i="20"/>
  <c r="G42" i="20" s="1"/>
  <c r="A40" i="26"/>
  <c r="B42" i="20"/>
  <c r="D38" i="26" l="1"/>
  <c r="C38" i="26"/>
  <c r="E39" i="26"/>
  <c r="R51" i="20"/>
  <c r="F42" i="20"/>
  <c r="E42" i="20"/>
  <c r="D43" i="20"/>
  <c r="G43" i="20" s="1"/>
  <c r="B43" i="20"/>
  <c r="A41" i="26"/>
  <c r="C39" i="26" l="1"/>
  <c r="D39" i="26"/>
  <c r="E40" i="26"/>
  <c r="R52" i="20"/>
  <c r="D44" i="20"/>
  <c r="G44" i="20" s="1"/>
  <c r="A42" i="26"/>
  <c r="B44" i="20"/>
  <c r="F43" i="20"/>
  <c r="E43" i="20"/>
  <c r="E41" i="26" l="1"/>
  <c r="C40" i="26"/>
  <c r="D40" i="26"/>
  <c r="R53" i="20"/>
  <c r="B45" i="20"/>
  <c r="A43" i="26"/>
  <c r="D45" i="20"/>
  <c r="G45" i="20" s="1"/>
  <c r="F44" i="20"/>
  <c r="E44" i="20"/>
  <c r="D41" i="26" l="1"/>
  <c r="C41" i="26"/>
  <c r="E42" i="26"/>
  <c r="R54" i="20"/>
  <c r="D46" i="20"/>
  <c r="G46" i="20" s="1"/>
  <c r="A44" i="26"/>
  <c r="B46" i="20"/>
  <c r="F45" i="20"/>
  <c r="E45" i="20"/>
  <c r="E43" i="26" l="1"/>
  <c r="C42" i="26"/>
  <c r="D42" i="26"/>
  <c r="R56" i="20"/>
  <c r="R55" i="20"/>
  <c r="D47" i="20"/>
  <c r="G47" i="20" s="1"/>
  <c r="A45" i="26"/>
  <c r="B47" i="20"/>
  <c r="F46" i="20"/>
  <c r="E46" i="20"/>
  <c r="E44" i="26" l="1"/>
  <c r="C43" i="26"/>
  <c r="D43" i="26"/>
  <c r="D48" i="20"/>
  <c r="G48" i="20" s="1"/>
  <c r="B48" i="20"/>
  <c r="A46" i="26"/>
  <c r="F47" i="20"/>
  <c r="E47" i="20"/>
  <c r="D44" i="26" l="1"/>
  <c r="E45" i="26"/>
  <c r="C44" i="26"/>
  <c r="F48" i="20"/>
  <c r="E48" i="20"/>
  <c r="D49" i="20"/>
  <c r="G49" i="20" s="1"/>
  <c r="A47" i="26"/>
  <c r="B49" i="20"/>
  <c r="C45" i="26" l="1"/>
  <c r="D45" i="26"/>
  <c r="E46" i="26"/>
  <c r="F49" i="20"/>
  <c r="E49" i="20"/>
  <c r="D50" i="20"/>
  <c r="G50" i="20" s="1"/>
  <c r="A48" i="26"/>
  <c r="B50" i="20"/>
  <c r="C46" i="26" l="1"/>
  <c r="E47" i="26"/>
  <c r="D46" i="26"/>
  <c r="F50" i="20"/>
  <c r="E50" i="20"/>
  <c r="D51" i="20"/>
  <c r="G51" i="20" s="1"/>
  <c r="A49" i="26"/>
  <c r="B51" i="20"/>
  <c r="D47" i="26" l="1"/>
  <c r="E48" i="26"/>
  <c r="C47" i="26"/>
  <c r="A50" i="26"/>
  <c r="B52" i="20"/>
  <c r="D52" i="20"/>
  <c r="G52" i="20" s="1"/>
  <c r="F51" i="20"/>
  <c r="E51" i="20"/>
  <c r="E49" i="26" l="1"/>
  <c r="D48" i="26"/>
  <c r="C48" i="26"/>
  <c r="F52" i="20"/>
  <c r="E52" i="20"/>
  <c r="D53" i="20"/>
  <c r="G53" i="20" s="1"/>
  <c r="B53" i="20"/>
  <c r="A51" i="26"/>
  <c r="E50" i="26" l="1"/>
  <c r="C49" i="26"/>
  <c r="D49" i="26"/>
  <c r="A52" i="26"/>
  <c r="D54" i="20"/>
  <c r="G54" i="20" s="1"/>
  <c r="B54" i="20"/>
  <c r="F53" i="20"/>
  <c r="E53" i="20"/>
  <c r="C50" i="26" l="1"/>
  <c r="E51" i="26"/>
  <c r="D50" i="26"/>
  <c r="F54" i="20"/>
  <c r="E54" i="20"/>
  <c r="D55" i="20"/>
  <c r="G55" i="20" s="1"/>
  <c r="A53" i="26"/>
  <c r="B55" i="20"/>
  <c r="C51" i="26" l="1"/>
  <c r="D51" i="26"/>
  <c r="E52" i="26"/>
  <c r="F55" i="20"/>
  <c r="E55" i="20"/>
  <c r="B56" i="20"/>
  <c r="D56" i="20"/>
  <c r="G56" i="20" s="1"/>
  <c r="C52" i="26" l="1"/>
  <c r="D52" i="26"/>
  <c r="E53" i="26"/>
  <c r="E56" i="20"/>
  <c r="F56" i="20"/>
  <c r="D53" i="26" l="1"/>
  <c r="C53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FE430C-0840-4183-96CA-AF4B1D50405D}" odcFile="C:\Users\claude.de.vetter\OneDrive - Duomedgroup\Documenten\Mijn gegevensbronnen\Query - activities.odc" keepAlive="1" name="Query - activities" description="Verbinding maken met de query activities in de werkmap." type="5" refreshedVersion="8" background="1" refreshOnLoad="1" saveData="1">
    <dbPr connection="Provider=Microsoft.Mashup.OleDb.1;Data Source=$Workbook$;Location=activities;Extended Properties=&quot;&quot;" command="SELECT * FROM [activities]"/>
  </connection>
  <connection id="2" xr16:uid="{9582B185-7236-4DDD-8B93-6F38BB4E3BB8}" odcFile="C:\Users\claude.de.vetter\OneDrive - Duomedgroup\Documenten\Mijn gegevensbronnen\Query - wellness.odc" keepAlive="1" name="Query - wellness" description="Verbinding maken met de query wellness in de werkmap." type="5" refreshedVersion="8" background="1" refreshOnLoad="1" saveData="1">
    <dbPr connection="Provider=Microsoft.Mashup.OleDb.1;Data Source=$Workbook$;Location=wellness;Extended Properties=&quot;&quot;" command="SELECT * FROM [wellnes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<sst xmlns="http://schemas.openxmlformats.org/spreadsheetml/2006/main" count="516" uniqueCount="258">
  <si>
    <t>B</t>
  </si>
  <si>
    <t>Race</t>
  </si>
  <si>
    <t>TSS</t>
  </si>
  <si>
    <t>A</t>
  </si>
  <si>
    <t>C</t>
  </si>
  <si>
    <t>Peak</t>
  </si>
  <si>
    <t>Weight Lifting</t>
  </si>
  <si>
    <t>Aerobic Endurance</t>
  </si>
  <si>
    <t>Speed Skills</t>
  </si>
  <si>
    <t>Muscular Endurance</t>
  </si>
  <si>
    <t>Anaerobic Endurance</t>
  </si>
  <si>
    <t>Sprint Power</t>
  </si>
  <si>
    <t>Week</t>
  </si>
  <si>
    <t>start_date_local</t>
  </si>
  <si>
    <t>race</t>
  </si>
  <si>
    <t>Run</t>
  </si>
  <si>
    <t>Ride</t>
  </si>
  <si>
    <t>MountainBikeRide</t>
  </si>
  <si>
    <t>Walk</t>
  </si>
  <si>
    <t>OpenWaterSwim</t>
  </si>
  <si>
    <t>Swim</t>
  </si>
  <si>
    <t>GravelRide</t>
  </si>
  <si>
    <t>TrailRun</t>
  </si>
  <si>
    <t>Anaerobice Endurance</t>
  </si>
  <si>
    <t>Muscular force</t>
  </si>
  <si>
    <t>FTP</t>
  </si>
  <si>
    <t>AeT</t>
  </si>
  <si>
    <t>NR</t>
  </si>
  <si>
    <t>Start ATP</t>
  </si>
  <si>
    <t>ride_time</t>
  </si>
  <si>
    <t>period</t>
  </si>
  <si>
    <t>cat</t>
  </si>
  <si>
    <t xml:space="preserve">TSS per hour </t>
  </si>
  <si>
    <t>test</t>
  </si>
  <si>
    <t>race_date</t>
  </si>
  <si>
    <t>race_name</t>
  </si>
  <si>
    <t>race_cat</t>
  </si>
  <si>
    <t>Key</t>
  </si>
  <si>
    <t>Value</t>
  </si>
  <si>
    <t>DISTANCE_SYSTEM</t>
  </si>
  <si>
    <t>metric</t>
  </si>
  <si>
    <t>API_KEY</t>
  </si>
  <si>
    <t>purple</t>
  </si>
  <si>
    <t>USERNAME</t>
  </si>
  <si>
    <t>ATHLETE_ID</t>
  </si>
  <si>
    <t>COLOR</t>
  </si>
  <si>
    <t>red</t>
  </si>
  <si>
    <t>imperial</t>
  </si>
  <si>
    <t xml:space="preserve">black </t>
  </si>
  <si>
    <t>yellow</t>
  </si>
  <si>
    <t>orange</t>
  </si>
  <si>
    <t>brown</t>
  </si>
  <si>
    <t>green</t>
  </si>
  <si>
    <t>blue</t>
  </si>
  <si>
    <t>Do_At_Rest</t>
  </si>
  <si>
    <t>Only train light, stay in bed or on the beach and focus on other things!</t>
  </si>
  <si>
    <t>Data used in the scripts</t>
  </si>
  <si>
    <t>Race_Cat</t>
  </si>
  <si>
    <t>Fill in the blue cells</t>
  </si>
  <si>
    <t>Conversion from TSS to time.</t>
  </si>
  <si>
    <t xml:space="preserve">Here you can start the ATP and finetune the way periodisation is handled in the ATP. </t>
  </si>
  <si>
    <t>NOTE_FEEDBACK_COLOR</t>
  </si>
  <si>
    <t>Here you can input the races. Depending on the category (A-C), the load of the races (if planned in intervals.icu) is used to check the planned loads and fill weekly notes. The races need to be entered in intervals.icu manually.</t>
  </si>
  <si>
    <t>difference_ATP_TSS_vs_activity_targets</t>
  </si>
  <si>
    <t>difference_ATP_vs_workout_targets_ planned_intervals</t>
  </si>
  <si>
    <t>TOTAL LOAD</t>
  </si>
  <si>
    <t>LOAD per activity (planned and from workouts in intervals.icu)</t>
  </si>
  <si>
    <t>Focus items</t>
  </si>
  <si>
    <t>NOTE_ATP_COLOR</t>
  </si>
  <si>
    <t>Tests to do</t>
  </si>
  <si>
    <t>Additional targets (time (min)  and distance (m/km/mi)). There is no further check on these targets.</t>
  </si>
  <si>
    <t>None</t>
  </si>
  <si>
    <t>Sports</t>
  </si>
  <si>
    <t>End_ATP</t>
  </si>
  <si>
    <t>Prep</t>
  </si>
  <si>
    <t>acceptable difference ATL Loads</t>
  </si>
  <si>
    <t>Period</t>
  </si>
  <si>
    <t>Base 1</t>
  </si>
  <si>
    <t>Base 2</t>
  </si>
  <si>
    <t>Build 1</t>
  </si>
  <si>
    <t>Build 2</t>
  </si>
  <si>
    <t>Base 3</t>
  </si>
  <si>
    <t>Yearly TSS</t>
  </si>
  <si>
    <t>Trans</t>
  </si>
  <si>
    <t>Factor</t>
  </si>
  <si>
    <t>Annual TSS (table 7.6 "Weekly TSS" from The Triathlete's Training Bible, 4th edition</t>
  </si>
  <si>
    <t>Min</t>
  </si>
  <si>
    <t>Max</t>
  </si>
  <si>
    <t>Yearly TSS where Weekly TSS is based on.</t>
  </si>
  <si>
    <t>Planweek</t>
  </si>
  <si>
    <t>YearWeek</t>
  </si>
  <si>
    <t xml:space="preserve">Date </t>
  </si>
  <si>
    <t>Sub</t>
  </si>
  <si>
    <t>Weekly TSS due standard training stuff and commute.</t>
  </si>
  <si>
    <t>(Just for colloring the check-collumns)</t>
  </si>
  <si>
    <t>hours</t>
  </si>
  <si>
    <t>race_date_key</t>
  </si>
  <si>
    <t>TSS_planned_total</t>
  </si>
  <si>
    <t>workout_targets_intervals</t>
  </si>
  <si>
    <t>Weekly Routine TSS</t>
  </si>
  <si>
    <t>Go Triatlon Brouwersdam</t>
  </si>
  <si>
    <t>Uilentorenloop</t>
  </si>
  <si>
    <t>Crosstriatlon Renkum</t>
  </si>
  <si>
    <t>Kwartje Anna Paulowna</t>
  </si>
  <si>
    <t>Test</t>
  </si>
  <si>
    <t>AeT en FTP</t>
  </si>
  <si>
    <t xml:space="preserve">FTP </t>
  </si>
  <si>
    <t>1</t>
  </si>
  <si>
    <t>2</t>
  </si>
  <si>
    <t>3</t>
  </si>
  <si>
    <t>4</t>
  </si>
  <si>
    <t>Peak-1</t>
  </si>
  <si>
    <t>Peak-2</t>
  </si>
  <si>
    <t>Actual MountainBikeRide</t>
  </si>
  <si>
    <t>Actual OpenWaterSwim</t>
  </si>
  <si>
    <t>Actual Ride</t>
  </si>
  <si>
    <t>Actual Run</t>
  </si>
  <si>
    <t>Actual Swim</t>
  </si>
  <si>
    <t>Actual TrailRun</t>
  </si>
  <si>
    <t>2026-02</t>
  </si>
  <si>
    <t>2026-03</t>
  </si>
  <si>
    <t>2026-04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</si>
  <si>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</si>
  <si>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</si>
  <si>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</si>
  <si>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</si>
  <si>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</si>
  <si>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</si>
  <si>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</si>
  <si>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</si>
  <si>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2026-13</t>
  </si>
  <si>
    <t>2026-14</t>
  </si>
  <si>
    <t>2026-15</t>
  </si>
  <si>
    <t>2026-16</t>
  </si>
  <si>
    <t>2026-17</t>
  </si>
  <si>
    <t>2026-18</t>
  </si>
  <si>
    <t>2026-19</t>
  </si>
  <si>
    <t>2026-20</t>
  </si>
  <si>
    <t>2026-21</t>
  </si>
  <si>
    <t>2026-22</t>
  </si>
  <si>
    <t>2026-23</t>
  </si>
  <si>
    <t>2026-24</t>
  </si>
  <si>
    <t>2026-25</t>
  </si>
  <si>
    <t>2026-26</t>
  </si>
  <si>
    <t>2026-27</t>
  </si>
  <si>
    <t>2026-28</t>
  </si>
  <si>
    <t>2026-29</t>
  </si>
  <si>
    <t>2026-30</t>
  </si>
  <si>
    <t>2026-31</t>
  </si>
  <si>
    <t>2026-32</t>
  </si>
  <si>
    <t>2026-33</t>
  </si>
  <si>
    <t>2026-34</t>
  </si>
  <si>
    <t>2026-35</t>
  </si>
  <si>
    <t>2026-36</t>
  </si>
  <si>
    <t>2026-37</t>
  </si>
  <si>
    <t>2026-38</t>
  </si>
  <si>
    <t>2026-39</t>
  </si>
  <si>
    <t>2026-40</t>
  </si>
  <si>
    <t>2026-41</t>
  </si>
  <si>
    <t>2026-42</t>
  </si>
  <si>
    <t>2026-43</t>
  </si>
  <si>
    <t>2026-44</t>
  </si>
  <si>
    <t>2026-45</t>
  </si>
  <si>
    <t>2026-46</t>
  </si>
  <si>
    <t>2026-47</t>
  </si>
  <si>
    <t>2026-48</t>
  </si>
  <si>
    <t>2026-49</t>
  </si>
  <si>
    <t>2026-50</t>
  </si>
  <si>
    <t>2026-51</t>
  </si>
  <si>
    <t>2026-52</t>
  </si>
  <si>
    <t>2026-53</t>
  </si>
  <si>
    <t>Target MountainBikeRide</t>
  </si>
  <si>
    <t>Target OpenWaterSwim</t>
  </si>
  <si>
    <t>Target Ride</t>
  </si>
  <si>
    <t>Target Run</t>
  </si>
  <si>
    <t>Target Swim</t>
  </si>
  <si>
    <t>Target TrailRun</t>
  </si>
  <si>
    <t>Total Actual_Load</t>
  </si>
  <si>
    <t>Total Target_Load</t>
  </si>
  <si>
    <t>Load Difference</t>
  </si>
  <si>
    <t>Advised LOAD</t>
  </si>
  <si>
    <t xml:space="preserve">Put something you want to say to the athete when in the rest week. </t>
  </si>
  <si>
    <t>ATP</t>
  </si>
  <si>
    <t>1-1</t>
  </si>
  <si>
    <t>Base</t>
  </si>
  <si>
    <t>1-2</t>
  </si>
  <si>
    <t>Build</t>
  </si>
  <si>
    <t>1-3</t>
  </si>
  <si>
    <t>1-4</t>
  </si>
  <si>
    <t>WeightTraining</t>
  </si>
  <si>
    <t>2-1</t>
  </si>
  <si>
    <t>Hike</t>
  </si>
  <si>
    <t>Rest</t>
  </si>
  <si>
    <t>2-2</t>
  </si>
  <si>
    <t>2-3</t>
  </si>
  <si>
    <t>AlpineSki</t>
  </si>
  <si>
    <t>2-4</t>
  </si>
  <si>
    <t>BackcountrySki</t>
  </si>
  <si>
    <t>3-1</t>
  </si>
  <si>
    <t>Badminton</t>
  </si>
  <si>
    <t>3-2</t>
  </si>
  <si>
    <t>Canoeing</t>
  </si>
  <si>
    <t>3-3</t>
  </si>
  <si>
    <t>Crossfit</t>
  </si>
  <si>
    <t>3-4</t>
  </si>
  <si>
    <t>EBikeRide</t>
  </si>
  <si>
    <t>EMountainBikeRide</t>
  </si>
  <si>
    <t>Elliptical</t>
  </si>
  <si>
    <t>Golf</t>
  </si>
  <si>
    <t>TrackRide</t>
  </si>
  <si>
    <t>Handcycle</t>
  </si>
  <si>
    <t>HighIntensityIntervalTraining</t>
  </si>
  <si>
    <t>Hockey</t>
  </si>
  <si>
    <t>IceSkate</t>
  </si>
  <si>
    <t>InlineSkate</t>
  </si>
  <si>
    <t>Kayaking</t>
  </si>
  <si>
    <t>Kitesurf</t>
  </si>
  <si>
    <t>NordicSki</t>
  </si>
  <si>
    <t>Padel</t>
  </si>
  <si>
    <t>Pilates</t>
  </si>
  <si>
    <t>Pickleball</t>
  </si>
  <si>
    <t>Racquetball</t>
  </si>
  <si>
    <t>Rugby</t>
  </si>
  <si>
    <t>RockClimbing</t>
  </si>
  <si>
    <t>RollerSki</t>
  </si>
  <si>
    <t>Rowing</t>
  </si>
  <si>
    <t>Sail</t>
  </si>
  <si>
    <t>Skateboard</t>
  </si>
  <si>
    <t>Snowboard</t>
  </si>
  <si>
    <t>Snowshoe</t>
  </si>
  <si>
    <t>Soccer</t>
  </si>
  <si>
    <t>Squash</t>
  </si>
  <si>
    <t>StairStepper</t>
  </si>
  <si>
    <t>StandUpPaddling</t>
  </si>
  <si>
    <t>Surfing</t>
  </si>
  <si>
    <t>TableTennis</t>
  </si>
  <si>
    <t>Tennis</t>
  </si>
  <si>
    <t>Transition</t>
  </si>
  <si>
    <t>Velomobile</t>
  </si>
  <si>
    <t>VirtualRide</t>
  </si>
  <si>
    <t>VirtualRow</t>
  </si>
  <si>
    <t>VirtualRun</t>
  </si>
  <si>
    <t>WaterSport</t>
  </si>
  <si>
    <t>Wheelchair</t>
  </si>
  <si>
    <t>Windsurf</t>
  </si>
  <si>
    <t>Workout</t>
  </si>
  <si>
    <t>Yoga</t>
  </si>
  <si>
    <t>Other</t>
  </si>
  <si>
    <t>Swim_time</t>
  </si>
  <si>
    <t>Swim_distance</t>
  </si>
  <si>
    <t>Ride_distance</t>
  </si>
  <si>
    <t>Run_time</t>
  </si>
  <si>
    <t>Run_distance</t>
  </si>
  <si>
    <t>TrailRun_time</t>
  </si>
  <si>
    <t>TrailRun_distance</t>
  </si>
  <si>
    <t>Ride_time</t>
  </si>
  <si>
    <t>6h2idETC</t>
  </si>
  <si>
    <t>i11ETC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</si>
</sst>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dd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8">
    <xf numFmtId="0" fontId="0" fillId="0" borderId="0" xfId="0"/>
    <xf numFmtId="1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0" xfId="0" applyNumberFormat="1"/>
    <xf numFmtId="0" fontId="0" fillId="0" borderId="10" xfId="0" applyBorder="1"/>
    <xf numFmtId="0" fontId="0" fillId="0" borderId="8" xfId="0" applyBorder="1"/>
    <xf numFmtId="0" fontId="0" fillId="0" borderId="11" xfId="0" applyBorder="1"/>
    <xf numFmtId="0" fontId="2" fillId="0" borderId="20" xfId="0" applyFont="1" applyBorder="1"/>
    <xf numFmtId="0" fontId="2" fillId="0" borderId="19" xfId="0" applyFont="1" applyBorder="1"/>
    <xf numFmtId="0" fontId="2" fillId="0" borderId="18" xfId="0" applyFont="1" applyBorder="1"/>
    <xf numFmtId="0" fontId="0" fillId="0" borderId="9" xfId="0" applyBorder="1"/>
    <xf numFmtId="49" fontId="0" fillId="0" borderId="0" xfId="0" applyNumberFormat="1"/>
    <xf numFmtId="1" fontId="0" fillId="7" borderId="0" xfId="0" applyNumberFormat="1" applyFill="1"/>
    <xf numFmtId="1" fontId="0" fillId="8" borderId="0" xfId="0" applyNumberFormat="1" applyFill="1"/>
    <xf numFmtId="1" fontId="0" fillId="9" borderId="0" xfId="0" applyNumberFormat="1" applyFill="1"/>
    <xf numFmtId="1" fontId="0" fillId="4" borderId="0" xfId="0" applyNumberFormat="1" applyFill="1"/>
    <xf numFmtId="1" fontId="0" fillId="10" borderId="0" xfId="0" applyNumberFormat="1" applyFill="1"/>
    <xf numFmtId="0" fontId="8" fillId="0" borderId="0" xfId="0" applyFont="1" applyAlignment="1">
      <alignment vertical="center" wrapText="1"/>
    </xf>
    <xf numFmtId="0" fontId="1" fillId="0" borderId="12" xfId="0" applyFont="1" applyBorder="1"/>
    <xf numFmtId="1" fontId="0" fillId="4" borderId="1" xfId="0" applyNumberFormat="1" applyFill="1" applyBorder="1"/>
    <xf numFmtId="1" fontId="0" fillId="4" borderId="39" xfId="0" applyNumberFormat="1" applyFill="1" applyBorder="1"/>
    <xf numFmtId="1" fontId="0" fillId="7" borderId="1" xfId="0" applyNumberFormat="1" applyFill="1" applyBorder="1"/>
    <xf numFmtId="1" fontId="0" fillId="7" borderId="39" xfId="0" applyNumberFormat="1" applyFill="1" applyBorder="1"/>
    <xf numFmtId="1" fontId="0" fillId="8" borderId="1" xfId="0" applyNumberFormat="1" applyFill="1" applyBorder="1"/>
    <xf numFmtId="1" fontId="0" fillId="8" borderId="39" xfId="0" applyNumberFormat="1" applyFill="1" applyBorder="1"/>
    <xf numFmtId="1" fontId="0" fillId="9" borderId="1" xfId="0" applyNumberFormat="1" applyFill="1" applyBorder="1"/>
    <xf numFmtId="1" fontId="0" fillId="9" borderId="39" xfId="0" applyNumberFormat="1" applyFill="1" applyBorder="1"/>
    <xf numFmtId="0" fontId="0" fillId="4" borderId="39" xfId="0" applyFill="1" applyBorder="1"/>
    <xf numFmtId="1" fontId="2" fillId="0" borderId="11" xfId="0" applyNumberFormat="1" applyFont="1" applyBorder="1"/>
    <xf numFmtId="0" fontId="0" fillId="0" borderId="3" xfId="0" applyBorder="1"/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0" fontId="0" fillId="0" borderId="7" xfId="0" applyBorder="1"/>
    <xf numFmtId="0" fontId="0" fillId="0" borderId="5" xfId="0" applyBorder="1"/>
    <xf numFmtId="0" fontId="0" fillId="0" borderId="45" xfId="0" applyBorder="1" applyAlignment="1">
      <alignment horizontal="center" vertical="center"/>
    </xf>
    <xf numFmtId="1" fontId="0" fillId="4" borderId="12" xfId="0" applyNumberFormat="1" applyFill="1" applyBorder="1"/>
    <xf numFmtId="1" fontId="0" fillId="4" borderId="11" xfId="0" applyNumberFormat="1" applyFill="1" applyBorder="1"/>
    <xf numFmtId="1" fontId="0" fillId="4" borderId="3" xfId="0" applyNumberFormat="1" applyFill="1" applyBorder="1"/>
    <xf numFmtId="0" fontId="0" fillId="4" borderId="0" xfId="0" applyFill="1"/>
    <xf numFmtId="1" fontId="0" fillId="10" borderId="4" xfId="0" applyNumberFormat="1" applyFill="1" applyBorder="1"/>
    <xf numFmtId="1" fontId="0" fillId="10" borderId="40" xfId="0" applyNumberFormat="1" applyFill="1" applyBorder="1"/>
    <xf numFmtId="1" fontId="0" fillId="10" borderId="2" xfId="0" applyNumberFormat="1" applyFill="1" applyBorder="1"/>
    <xf numFmtId="0" fontId="0" fillId="2" borderId="9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1" fillId="0" borderId="20" xfId="0" applyFont="1" applyBorder="1"/>
    <xf numFmtId="0" fontId="1" fillId="0" borderId="18" xfId="0" applyFont="1" applyBorder="1"/>
    <xf numFmtId="0" fontId="0" fillId="0" borderId="44" xfId="0" applyBorder="1"/>
    <xf numFmtId="0" fontId="0" fillId="0" borderId="45" xfId="0" applyBorder="1"/>
    <xf numFmtId="0" fontId="5" fillId="0" borderId="0" xfId="0" applyFont="1"/>
    <xf numFmtId="0" fontId="2" fillId="0" borderId="0" xfId="0" applyFont="1"/>
    <xf numFmtId="0" fontId="2" fillId="0" borderId="25" xfId="0" applyFont="1" applyBorder="1"/>
    <xf numFmtId="14" fontId="0" fillId="0" borderId="47" xfId="0" applyNumberFormat="1" applyBorder="1"/>
    <xf numFmtId="14" fontId="0" fillId="0" borderId="31" xfId="0" applyNumberFormat="1" applyBorder="1"/>
    <xf numFmtId="14" fontId="0" fillId="0" borderId="32" xfId="0" applyNumberFormat="1" applyBorder="1"/>
    <xf numFmtId="14" fontId="0" fillId="2" borderId="52" xfId="0" applyNumberFormat="1" applyFill="1" applyBorder="1" applyProtection="1">
      <protection locked="0"/>
    </xf>
    <xf numFmtId="1" fontId="0" fillId="2" borderId="52" xfId="0" applyNumberFormat="1" applyFill="1" applyBorder="1" applyAlignment="1" applyProtection="1">
      <alignment horizontal="left" indent="1"/>
      <protection locked="0"/>
    </xf>
    <xf numFmtId="0" fontId="0" fillId="2" borderId="52" xfId="0" applyFill="1" applyBorder="1" applyProtection="1">
      <protection locked="0"/>
    </xf>
    <xf numFmtId="0" fontId="0" fillId="2" borderId="45" xfId="0" applyFill="1" applyBorder="1" applyProtection="1">
      <protection locked="0"/>
    </xf>
    <xf numFmtId="14" fontId="0" fillId="2" borderId="7" xfId="0" applyNumberFormat="1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2" fillId="0" borderId="51" xfId="0" applyFont="1" applyBorder="1"/>
    <xf numFmtId="0" fontId="2" fillId="0" borderId="37" xfId="0" applyFont="1" applyBorder="1"/>
    <xf numFmtId="0" fontId="0" fillId="0" borderId="37" xfId="0" applyBorder="1"/>
    <xf numFmtId="0" fontId="0" fillId="0" borderId="38" xfId="0" applyBorder="1"/>
    <xf numFmtId="14" fontId="1" fillId="2" borderId="0" xfId="0" applyNumberFormat="1" applyFont="1" applyFill="1" applyProtection="1">
      <protection locked="0"/>
    </xf>
    <xf numFmtId="1" fontId="1" fillId="2" borderId="0" xfId="0" applyNumberFormat="1" applyFont="1" applyFill="1" applyProtection="1">
      <protection locked="0"/>
    </xf>
    <xf numFmtId="0" fontId="1" fillId="2" borderId="0" xfId="0" applyFont="1" applyFill="1" applyProtection="1">
      <protection locked="0"/>
    </xf>
    <xf numFmtId="0" fontId="0" fillId="3" borderId="0" xfId="0" applyFill="1"/>
    <xf numFmtId="0" fontId="1" fillId="3" borderId="3" xfId="0" applyFont="1" applyFill="1" applyBorder="1" applyAlignment="1">
      <alignment horizontal="center" vertical="center"/>
    </xf>
    <xf numFmtId="0" fontId="0" fillId="3" borderId="33" xfId="0" applyFill="1" applyBorder="1"/>
    <xf numFmtId="0" fontId="0" fillId="3" borderId="0" xfId="0" applyFill="1" applyAlignment="1">
      <alignment vertical="center"/>
    </xf>
    <xf numFmtId="0" fontId="0" fillId="0" borderId="17" xfId="0" applyBorder="1" applyAlignment="1">
      <alignment horizontal="center" textRotation="90"/>
    </xf>
    <xf numFmtId="0" fontId="0" fillId="3" borderId="26" xfId="0" applyFill="1" applyBorder="1" applyAlignment="1">
      <alignment vertical="center" wrapText="1"/>
    </xf>
    <xf numFmtId="0" fontId="1" fillId="0" borderId="33" xfId="0" applyFont="1" applyBorder="1" applyAlignment="1">
      <alignment horizontal="center" vertical="center" wrapText="1"/>
    </xf>
    <xf numFmtId="0" fontId="6" fillId="0" borderId="0" xfId="0" applyFont="1"/>
    <xf numFmtId="0" fontId="0" fillId="0" borderId="3" xfId="0" applyBorder="1" applyAlignment="1">
      <alignment horizontal="center" textRotation="90"/>
    </xf>
    <xf numFmtId="0" fontId="0" fillId="0" borderId="12" xfId="0" applyBorder="1" applyAlignment="1">
      <alignment horizontal="center" textRotation="90"/>
    </xf>
    <xf numFmtId="0" fontId="0" fillId="0" borderId="16" xfId="0" applyBorder="1" applyAlignment="1">
      <alignment horizontal="center" textRotation="90" wrapText="1"/>
    </xf>
    <xf numFmtId="0" fontId="0" fillId="3" borderId="26" xfId="0" applyFill="1" applyBorder="1" applyAlignment="1">
      <alignment textRotation="90"/>
    </xf>
    <xf numFmtId="0" fontId="1" fillId="0" borderId="20" xfId="0" applyFont="1" applyBorder="1" applyAlignment="1">
      <alignment textRotation="90"/>
    </xf>
    <xf numFmtId="0" fontId="10" fillId="0" borderId="18" xfId="0" applyFont="1" applyBorder="1" applyAlignment="1">
      <alignment textRotation="90"/>
    </xf>
    <xf numFmtId="0" fontId="0" fillId="0" borderId="18" xfId="0" applyBorder="1" applyAlignment="1">
      <alignment textRotation="90"/>
    </xf>
    <xf numFmtId="0" fontId="0" fillId="3" borderId="0" xfId="0" applyFill="1" applyAlignment="1">
      <alignment textRotation="90"/>
    </xf>
    <xf numFmtId="0" fontId="0" fillId="0" borderId="20" xfId="0" applyBorder="1" applyAlignment="1">
      <alignment textRotation="90"/>
    </xf>
    <xf numFmtId="0" fontId="0" fillId="0" borderId="43" xfId="0" applyBorder="1" applyAlignment="1">
      <alignment textRotation="90"/>
    </xf>
    <xf numFmtId="0" fontId="0" fillId="0" borderId="19" xfId="0" applyBorder="1" applyAlignment="1">
      <alignment textRotation="90"/>
    </xf>
    <xf numFmtId="0" fontId="3" fillId="0" borderId="33" xfId="0" applyFont="1" applyBorder="1" applyAlignment="1">
      <alignment textRotation="90"/>
    </xf>
    <xf numFmtId="0" fontId="0" fillId="3" borderId="0" xfId="0" applyFill="1" applyAlignment="1">
      <alignment horizontal="center"/>
    </xf>
    <xf numFmtId="0" fontId="0" fillId="0" borderId="48" xfId="0" applyBorder="1" applyAlignment="1">
      <alignment textRotation="90"/>
    </xf>
    <xf numFmtId="0" fontId="0" fillId="0" borderId="49" xfId="0" applyBorder="1" applyAlignment="1">
      <alignment textRotation="90"/>
    </xf>
    <xf numFmtId="0" fontId="0" fillId="0" borderId="50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" fontId="0" fillId="0" borderId="14" xfId="0" applyNumberFormat="1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4" fontId="0" fillId="0" borderId="4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" fontId="0" fillId="0" borderId="34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0" fontId="1" fillId="3" borderId="41" xfId="0" applyFont="1" applyFill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64" fontId="0" fillId="0" borderId="0" xfId="0" applyNumberFormat="1"/>
    <xf numFmtId="0" fontId="0" fillId="0" borderId="2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14" fontId="0" fillId="0" borderId="42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0" fontId="1" fillId="3" borderId="42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6" fontId="0" fillId="6" borderId="7" xfId="0" applyNumberForma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14" fontId="3" fillId="0" borderId="22" xfId="0" applyNumberFormat="1" applyFont="1" applyBorder="1" applyAlignment="1">
      <alignment horizontal="center" vertical="center"/>
    </xf>
    <xf numFmtId="14" fontId="3" fillId="0" borderId="42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3" fillId="0" borderId="0" xfId="0" applyFont="1"/>
    <xf numFmtId="1" fontId="0" fillId="0" borderId="10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" fontId="0" fillId="0" borderId="23" xfId="0" applyNumberForma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14" fontId="0" fillId="0" borderId="23" xfId="0" applyNumberFormat="1" applyBorder="1" applyAlignment="1">
      <alignment horizontal="center" vertical="center"/>
    </xf>
    <xf numFmtId="14" fontId="0" fillId="0" borderId="46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0" fontId="1" fillId="3" borderId="46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/>
    <xf numFmtId="2" fontId="0" fillId="0" borderId="0" xfId="0" applyNumberFormat="1"/>
    <xf numFmtId="0" fontId="0" fillId="0" borderId="15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16" fontId="0" fillId="0" borderId="9" xfId="0" quotePrefix="1" applyNumberFormat="1" applyBorder="1" applyAlignment="1" applyProtection="1">
      <alignment horizontal="center" vertical="center"/>
      <protection locked="0"/>
    </xf>
    <xf numFmtId="0" fontId="0" fillId="0" borderId="53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9" fillId="2" borderId="10" xfId="0" applyFont="1" applyFill="1" applyBorder="1" applyAlignment="1" applyProtection="1">
      <alignment horizontal="center" vertical="center"/>
      <protection locked="0"/>
    </xf>
    <xf numFmtId="0" fontId="11" fillId="2" borderId="15" xfId="0" applyFont="1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0" fillId="2" borderId="14" xfId="0" applyFill="1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2" borderId="0" xfId="0" applyFill="1" applyProtection="1">
      <protection locked="0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1" fontId="0" fillId="2" borderId="15" xfId="0" applyNumberFormat="1" applyFill="1" applyBorder="1" applyProtection="1">
      <protection locked="0"/>
    </xf>
    <xf numFmtId="1" fontId="0" fillId="2" borderId="14" xfId="0" applyNumberFormat="1" applyFill="1" applyBorder="1" applyProtection="1">
      <protection locked="0"/>
    </xf>
    <xf numFmtId="1" fontId="0" fillId="2" borderId="13" xfId="0" applyNumberFormat="1" applyFill="1" applyBorder="1" applyProtection="1">
      <protection locked="0"/>
    </xf>
    <xf numFmtId="1" fontId="0" fillId="2" borderId="10" xfId="0" applyNumberFormat="1" applyFill="1" applyBorder="1" applyProtection="1">
      <protection locked="0"/>
    </xf>
    <xf numFmtId="1" fontId="0" fillId="2" borderId="7" xfId="0" applyNumberFormat="1" applyFill="1" applyBorder="1" applyProtection="1">
      <protection locked="0"/>
    </xf>
    <xf numFmtId="1" fontId="0" fillId="2" borderId="9" xfId="0" applyNumberFormat="1" applyFill="1" applyBorder="1" applyProtection="1">
      <protection locked="0"/>
    </xf>
    <xf numFmtId="1" fontId="3" fillId="2" borderId="10" xfId="0" applyNumberFormat="1" applyFont="1" applyFill="1" applyBorder="1" applyProtection="1">
      <protection locked="0"/>
    </xf>
    <xf numFmtId="1" fontId="3" fillId="2" borderId="7" xfId="0" applyNumberFormat="1" applyFont="1" applyFill="1" applyBorder="1" applyProtection="1">
      <protection locked="0"/>
    </xf>
    <xf numFmtId="1" fontId="3" fillId="2" borderId="9" xfId="0" applyNumberFormat="1" applyFont="1" applyFill="1" applyBorder="1" applyProtection="1">
      <protection locked="0"/>
    </xf>
    <xf numFmtId="1" fontId="0" fillId="2" borderId="8" xfId="0" applyNumberFormat="1" applyFill="1" applyBorder="1" applyProtection="1">
      <protection locked="0"/>
    </xf>
    <xf numFmtId="1" fontId="0" fillId="2" borderId="6" xfId="0" applyNumberFormat="1" applyFill="1" applyBorder="1" applyProtection="1">
      <protection locked="0"/>
    </xf>
    <xf numFmtId="1" fontId="0" fillId="2" borderId="5" xfId="0" applyNumberFormat="1" applyFill="1" applyBorder="1" applyProtection="1"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3" fillId="2" borderId="31" xfId="0" applyFont="1" applyFill="1" applyBorder="1" applyAlignment="1" applyProtection="1">
      <alignment horizontal="center" vertical="center"/>
      <protection locked="0"/>
    </xf>
    <xf numFmtId="0" fontId="0" fillId="2" borderId="32" xfId="0" applyFill="1" applyBorder="1" applyAlignment="1" applyProtection="1">
      <alignment horizontal="center" vertical="center"/>
      <protection locked="0"/>
    </xf>
    <xf numFmtId="0" fontId="0" fillId="0" borderId="51" xfId="0" applyBorder="1" applyAlignment="1">
      <alignment horizontal="center"/>
    </xf>
    <xf numFmtId="0" fontId="6" fillId="0" borderId="38" xfId="0" applyFont="1" applyBorder="1"/>
    <xf numFmtId="0" fontId="1" fillId="0" borderId="33" xfId="0" applyFont="1" applyBorder="1"/>
    <xf numFmtId="14" fontId="1" fillId="2" borderId="3" xfId="0" applyNumberFormat="1" applyFont="1" applyFill="1" applyBorder="1" applyProtection="1">
      <protection locked="0"/>
    </xf>
    <xf numFmtId="0" fontId="1" fillId="2" borderId="2" xfId="0" applyFont="1" applyFill="1" applyBorder="1" applyProtection="1">
      <protection locked="0"/>
    </xf>
    <xf numFmtId="0" fontId="1" fillId="0" borderId="0" xfId="0" applyFont="1"/>
    <xf numFmtId="0" fontId="1" fillId="0" borderId="7" xfId="0" applyFont="1" applyBorder="1"/>
    <xf numFmtId="0" fontId="2" fillId="0" borderId="7" xfId="0" applyFont="1" applyBorder="1"/>
    <xf numFmtId="0" fontId="13" fillId="0" borderId="7" xfId="0" applyFont="1" applyBorder="1"/>
    <xf numFmtId="0" fontId="7" fillId="5" borderId="12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39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40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7" fillId="5" borderId="1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0" fontId="7" fillId="5" borderId="39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40" xfId="0" applyFont="1" applyFill="1" applyBorder="1" applyAlignment="1">
      <alignment horizontal="center" vertical="center" wrapText="1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14" fontId="2" fillId="2" borderId="1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5" borderId="51" xfId="0" applyFont="1" applyFill="1" applyBorder="1" applyAlignment="1">
      <alignment horizontal="center" vertical="center" wrapText="1"/>
    </xf>
    <xf numFmtId="0" fontId="8" fillId="5" borderId="37" xfId="0" applyFont="1" applyFill="1" applyBorder="1" applyAlignment="1">
      <alignment horizontal="center" vertical="center" wrapText="1"/>
    </xf>
    <xf numFmtId="0" fontId="8" fillId="5" borderId="3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wrapText="1"/>
    </xf>
    <xf numFmtId="0" fontId="1" fillId="3" borderId="3" xfId="0" applyFont="1" applyFill="1" applyBorder="1" applyAlignment="1">
      <alignment horizontal="center" wrapText="1"/>
    </xf>
    <xf numFmtId="0" fontId="1" fillId="3" borderId="11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0" fillId="2" borderId="24" xfId="0" applyFill="1" applyBorder="1" applyAlignment="1" applyProtection="1">
      <alignment horizontal="center" vertical="center" wrapText="1"/>
      <protection locked="0"/>
    </xf>
    <xf numFmtId="0" fontId="0" fillId="2" borderId="26" xfId="0" applyFill="1" applyBorder="1" applyAlignment="1" applyProtection="1">
      <alignment horizontal="center" vertical="center" wrapText="1"/>
      <protection locked="0"/>
    </xf>
    <xf numFmtId="0" fontId="0" fillId="2" borderId="17" xfId="0" applyFill="1" applyBorder="1" applyAlignment="1">
      <alignment horizontal="center" textRotation="90"/>
    </xf>
    <xf numFmtId="0" fontId="0" fillId="2" borderId="48" xfId="0" applyFill="1" applyBorder="1" applyAlignment="1">
      <alignment horizontal="center" textRotation="90"/>
    </xf>
    <xf numFmtId="0" fontId="0" fillId="2" borderId="12" xfId="0" applyFill="1" applyBorder="1" applyAlignment="1">
      <alignment horizontal="center" textRotation="90"/>
    </xf>
    <xf numFmtId="0" fontId="0" fillId="2" borderId="4" xfId="0" applyFill="1" applyBorder="1" applyAlignment="1">
      <alignment horizontal="center" textRotation="90"/>
    </xf>
    <xf numFmtId="0" fontId="0" fillId="0" borderId="17" xfId="0" applyBorder="1" applyAlignment="1">
      <alignment horizontal="center" textRotation="90"/>
    </xf>
    <xf numFmtId="0" fontId="0" fillId="0" borderId="48" xfId="0" applyBorder="1" applyAlignment="1">
      <alignment horizontal="center" textRotation="90"/>
    </xf>
    <xf numFmtId="0" fontId="0" fillId="0" borderId="51" xfId="0" applyBorder="1" applyAlignment="1">
      <alignment horizontal="center" textRotation="90"/>
    </xf>
    <xf numFmtId="0" fontId="0" fillId="0" borderId="38" xfId="0" applyBorder="1" applyAlignment="1">
      <alignment horizontal="center" textRotation="90"/>
    </xf>
  </cellXfs>
  <cellStyles count="1">
    <cellStyle name="Standaard" xfId="0" builtinId="0"/>
  </cellStyles>
  <dxfs count="3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  <dxf>
      <numFmt numFmtId="21" formatCode="d/mmm"/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7B25A"/>
      <color rgb="FFDB6551"/>
      <color rgb="FFF30701"/>
      <color rgb="FFF59C00"/>
      <color rgb="FFAAAAAA"/>
      <color rgb="FF7D7D7D"/>
      <color rgb="FF343434"/>
      <color rgb="FF4BB912"/>
      <color rgb="FF3FAD06"/>
      <color rgb="FFA9D4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microsoft.com/office/2011/relationships/webextension" Target="../webextensions/webextension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352425</xdr:colOff>
      <xdr:row>11</xdr:row>
      <xdr:rowOff>63500</xdr:rowOff>
    </xdr:from>
    <xdr:to>
      <xdr:col>12</xdr:col>
      <xdr:colOff>200025</xdr:colOff>
      <xdr:row>22</xdr:row>
      <xdr:rowOff>133350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Invoegtoepassing 1">
              <a:extLst>
                <a:ext uri="{FF2B5EF4-FFF2-40B4-BE49-F238E27FC236}">
                  <a16:creationId xmlns:a16="http://schemas.microsoft.com/office/drawing/2014/main" id="{71245F19-EFD7-2E46-34E0-F2EA2B0C404F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Invoegtoepassing 1">
              <a:extLst>
                <a:ext uri="{FF2B5EF4-FFF2-40B4-BE49-F238E27FC236}">
                  <a16:creationId xmlns:a16="http://schemas.microsoft.com/office/drawing/2014/main" id="{71245F19-EFD7-2E46-34E0-F2EA2B0C404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82550</xdr:rowOff>
    </xdr:from>
    <xdr:to>
      <xdr:col>2</xdr:col>
      <xdr:colOff>12700</xdr:colOff>
      <xdr:row>21</xdr:row>
      <xdr:rowOff>133350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Invoegtoepassing 1" title="Mini Calendar and Date Picker">
              <a:extLst>
                <a:ext uri="{FF2B5EF4-FFF2-40B4-BE49-F238E27FC236}">
                  <a16:creationId xmlns:a16="http://schemas.microsoft.com/office/drawing/2014/main" id="{B6216B3F-E4B5-7DB6-38B9-04E2F1FF72E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Invoegtoepassing 1" title="Mini Calendar and Date Picker">
              <a:extLst>
                <a:ext uri="{FF2B5EF4-FFF2-40B4-BE49-F238E27FC236}">
                  <a16:creationId xmlns:a16="http://schemas.microsoft.com/office/drawing/2014/main" id="{B6216B3F-E4B5-7DB6-38B9-04E2F1FF72E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69850</xdr:colOff>
          <xdr:row>3</xdr:row>
          <xdr:rowOff>400050</xdr:rowOff>
        </xdr:from>
        <xdr:to>
          <xdr:col>13</xdr:col>
          <xdr:colOff>692150</xdr:colOff>
          <xdr:row>3</xdr:row>
          <xdr:rowOff>1174750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Load_Target with actual Loads from Workouts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69850</xdr:colOff>
          <xdr:row>3</xdr:row>
          <xdr:rowOff>1231900</xdr:rowOff>
        </xdr:from>
        <xdr:to>
          <xdr:col>13</xdr:col>
          <xdr:colOff>698500</xdr:colOff>
          <xdr:row>3</xdr:row>
          <xdr:rowOff>2076450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actual load relation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1C1B9F8-3D16-4B8C-981C-7E965D7954CD}" name="Tabel5" displayName="Tabel5" ref="A1:U53" totalsRowShown="0">
  <autoFilter ref="A1:U53" xr:uid="{F1C1B9F8-3D16-4B8C-981C-7E965D7954CD}"/>
  <tableColumns count="21">
    <tableColumn id="1" xr3:uid="{6FBDC204-CA0D-4174-A0F1-8382C56AAF75}" name="start_date_local" dataDxfId="20">
      <calculatedColumnFormula>IF(ATP_fill!C5=0,"",ATP_fill!C5)</calculatedColumnFormula>
    </tableColumn>
    <tableColumn id="2" xr3:uid="{0605BA30-D105-4B6C-9062-C995698FD422}" name="period" dataDxfId="19">
      <calculatedColumnFormula>ATP_fill!I5</calculatedColumnFormula>
    </tableColumn>
    <tableColumn id="3" xr3:uid="{F93C261F-A226-4DD1-97D4-19369F73DC1E}" name="race" dataDxfId="18">
      <calculatedColumnFormula>ATP_fill!E5</calculatedColumnFormula>
    </tableColumn>
    <tableColumn id="4" xr3:uid="{E7470105-BF59-45C8-9CBE-5DA9D1C8B43A}" name="cat" dataDxfId="17">
      <calculatedColumnFormula>ATP_fill!F5</calculatedColumnFormula>
    </tableColumn>
    <tableColumn id="5" xr3:uid="{A4902753-2C2B-40CC-B262-42BED7F1EA5B}" name="race_date" dataDxfId="16">
      <calculatedColumnFormula>ATP_fill!G5</calculatedColumnFormula>
    </tableColumn>
    <tableColumn id="22" xr3:uid="{6C95E3F6-1DA8-469B-9FA6-4AFDBE6886DC}" name="test" dataDxfId="15">
      <calculatedColumnFormula>ATP_fill!AZ5</calculatedColumnFormula>
    </tableColumn>
    <tableColumn id="7" xr3:uid="{357C4825-B9DF-4163-B759-FF295B21790C}" name="Weight Lifting" dataDxfId="14">
      <calculatedColumnFormula>ATP_fill!AE5</calculatedColumnFormula>
    </tableColumn>
    <tableColumn id="8" xr3:uid="{ACA1D629-3369-4596-88A2-8544B1BE82D0}" name="Aerobic Endurance" dataDxfId="13">
      <calculatedColumnFormula>ATP_fill!AF5</calculatedColumnFormula>
    </tableColumn>
    <tableColumn id="9" xr3:uid="{0836B354-6B0E-49F0-B47E-AF9890E8BCFC}" name="Muscular force" dataDxfId="12">
      <calculatedColumnFormula>ATP_fill!AG5</calculatedColumnFormula>
    </tableColumn>
    <tableColumn id="10" xr3:uid="{E1AB75AA-AEDF-4B82-A6C7-345D30119544}" name="Speed Skills" dataDxfId="11">
      <calculatedColumnFormula>ATP_fill!AH5</calculatedColumnFormula>
    </tableColumn>
    <tableColumn id="11" xr3:uid="{A37BD6EB-0E9C-497A-B262-7F98AB437CE0}" name="Muscular Endurance" dataDxfId="10">
      <calculatedColumnFormula>ATP_fill!AI5</calculatedColumnFormula>
    </tableColumn>
    <tableColumn id="12" xr3:uid="{D19C7810-8C16-4607-B01F-004C5510E0FC}" name="Anaerobic Endurance" dataDxfId="9">
      <calculatedColumnFormula>ATP_fill!AJ5</calculatedColumnFormula>
    </tableColumn>
    <tableColumn id="13" xr3:uid="{420AD741-BEBC-4A51-8EB6-32F1714BA801}" name="Sprint Power" dataDxfId="8">
      <calculatedColumnFormula>ATP_fill!AK5</calculatedColumnFormula>
    </tableColumn>
    <tableColumn id="14" xr3:uid="{F6281E1C-E5AE-42D4-B24B-C02D98905304}" name="Swim_time" dataDxfId="7">
      <calculatedColumnFormula>ATP_fill!BB5</calculatedColumnFormula>
    </tableColumn>
    <tableColumn id="15" xr3:uid="{2ACB4454-7BFB-444F-BAF7-AE23F197CEB4}" name="Swim_distance" dataDxfId="6">
      <calculatedColumnFormula>ATP_fill!BC5</calculatedColumnFormula>
    </tableColumn>
    <tableColumn id="16" xr3:uid="{DCD8153C-9252-44FD-960E-CF12B1294561}" name="ride_time" dataDxfId="5">
      <calculatedColumnFormula>ATP_fill!BD5</calculatedColumnFormula>
    </tableColumn>
    <tableColumn id="17" xr3:uid="{4D633CC5-44B4-46B0-8B54-F01DA7A019D4}" name="Ride_distance" dataDxfId="4">
      <calculatedColumnFormula>ATP_fill!BE5</calculatedColumnFormula>
    </tableColumn>
    <tableColumn id="18" xr3:uid="{5BD79CF7-3B9A-443C-BBD8-972C9F4447AA}" name="Run_time" dataDxfId="3">
      <calculatedColumnFormula>ATP_fill!BF5</calculatedColumnFormula>
    </tableColumn>
    <tableColumn id="19" xr3:uid="{F35A0C8E-D63B-4845-9185-1E11CC352B72}" name="Run_distance" dataDxfId="2">
      <calculatedColumnFormula>ATP_fill!BG5</calculatedColumnFormula>
    </tableColumn>
    <tableColumn id="20" xr3:uid="{0616FEF9-7D31-4FC4-9F04-6991FB5F64C0}" name="TrailRun_time" dataDxfId="1">
      <calculatedColumnFormula>ATP_fill!BH5</calculatedColumnFormula>
    </tableColumn>
    <tableColumn id="21" xr3:uid="{C60C206A-2265-4945-BDA6-1B39F6F3D5A1}" name="TrailRun_distance" dataDxfId="0">
      <calculatedColumnFormula>ATP_fill!BI5</calculatedColumnFormula>
    </tableColumn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="X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17E031F-CD65-4C77-94C2-A252F9B1C5F1}" name="Table_WLC" displayName="Table_WLC" ref="A4:P56" totalsRowShown="0">
  <autoFilter ref="A4:P56" xr:uid="{817E031F-CD65-4C77-94C2-A252F9B1C5F1}"/>
  <tableColumns count="16">
    <tableColumn id="1" xr3:uid="{68A7D0EB-BD0E-4549-BE26-D194AF87FF11}" name="Week"/>
    <tableColumn id="2" xr3:uid="{F06C24C1-BA3B-4F25-9E57-8EA518D1FB53}" name="Actual MountainBikeRide"/>
    <tableColumn id="3" xr3:uid="{400F4B48-56DE-4868-B644-070A056E8920}" name="Actual OpenWaterSwim"/>
    <tableColumn id="4" xr3:uid="{02B47803-53E4-4776-B221-D61527A38573}" name="Actual Ride"/>
    <tableColumn id="5" xr3:uid="{1E47DEAA-8A71-4766-B56E-D6B2B1AA103C}" name="Actual Run"/>
    <tableColumn id="6" xr3:uid="{D4B8536C-77FC-4C27-9894-A499C5DE5172}" name="Actual Swim"/>
    <tableColumn id="7" xr3:uid="{CCCC3ED6-C3AC-4599-8596-DD65BC248AD0}" name="Actual TrailRun"/>
    <tableColumn id="8" xr3:uid="{4A42D523-A83D-48DD-BDEF-89CD24628B49}" name="Target MountainBikeRide"/>
    <tableColumn id="9" xr3:uid="{B9EC5963-AD7F-4E22-AB63-F1B7D51C8A46}" name="Target OpenWaterSwim"/>
    <tableColumn id="10" xr3:uid="{5274223F-9C18-4CD2-B963-9D295AD16136}" name="Target Ride"/>
    <tableColumn id="11" xr3:uid="{8617D9AA-F6C2-422F-A0C1-39F8DB8395EF}" name="Target Run"/>
    <tableColumn id="12" xr3:uid="{9EB117BD-509B-462F-B7B2-019E01198DF1}" name="Target Swim"/>
    <tableColumn id="13" xr3:uid="{F84751BE-7E63-4ECF-A41A-E804636AD253}" name="Target TrailRun"/>
    <tableColumn id="14" xr3:uid="{63C3F867-C30F-485E-9AA7-870C6C428A85}" name="Total Actual_Load"/>
    <tableColumn id="15" xr3:uid="{D796CF76-C3F7-43A3-845E-B6099BD657ED}" name="Total Target_Load"/>
    <tableColumn id="16" xr3:uid="{1221BCC8-28CB-4478-91CF-CC2AFAD0F32A}" name="Load Differe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0D0AB-B74C-4EB6-893A-284603517777}" name="Table_WTL" displayName="Table_WTL" ref="A4:G56" totalsRowShown="0">
  <autoFilter ref="A4:G56" xr:uid="{DB10D0AB-B74C-4EB6-893A-284603517777}"/>
  <tableColumns count="7">
    <tableColumn id="1" xr3:uid="{ADD50B1D-EADA-4164-B8EC-AC297D3D4114}" name="Week"/>
    <tableColumn id="2" xr3:uid="{520C12BE-4484-4FF6-932B-83F4CA7761D1}" name="Actual MountainBikeRide"/>
    <tableColumn id="3" xr3:uid="{CD8822F1-1E22-44D8-A2FD-78B97726A47D}" name="Actual OpenWaterSwim"/>
    <tableColumn id="4" xr3:uid="{EF61E2DC-57DB-4BDF-A7FB-9B97426A6CF2}" name="Actual Ride"/>
    <tableColumn id="5" xr3:uid="{69FA1CF0-2B98-4CF5-A6F1-87E145BD900B}" name="Actual Run"/>
    <tableColumn id="6" xr3:uid="{50A1D03A-3B11-47D8-A0E3-5DF10C55E7B8}" name="Actual Swim"/>
    <tableColumn id="7" xr3:uid="{F773916C-E99D-4381-8EA1-824401CF1C96}" name="Actual TrailRu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_rels/webextension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webextension1.xml><?xml version="1.0" encoding="utf-8"?>
<we:webextension xmlns:we="http://schemas.microsoft.com/office/webextensions/webextension/2010/11" id="{71245F19-EFD7-2E46-34E0-F2EA2B0C404F}">
  <we:reference id="wa102957665" version="1.3.0.0" store="nl-NL" storeType="OMEX"/>
  <we:alternateReferences>
    <we:reference id="WA102957665" version="1.3.0.0" store="" storeType="OMEX"/>
  </we:alternateReferences>
  <we:properties>
    <we:property name="opt_month" value="&quot;2026-08-01&quot;"/>
    <we:property name="opt_cal_sys" value="21"/>
    <we:property name="opt_wn" value="true"/>
    <we:property name="opt_theme" value="1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B6216B3F-E4B5-7DB6-38B9-04E2F1FF72E7}">
  <we:reference id="wa102957665" version="1.3.0.0" store="nl-NL" storeType="OMEX"/>
  <we:alternateReferences>
    <we:reference id="WA102957665" version="1.3.0.0" store="WA102957665" storeType="OMEX"/>
  </we:alternateReferences>
  <we:properties>
    <we:property name="opt_cal_sys" value="21"/>
    <we:property name="opt_confirm" value="true"/>
    <we:property name="opt_month" value="&quot;2026-08-01&quot;"/>
    <we:property name="opt_size" value="0"/>
    <we:property name="opt_theme" value="1"/>
    <we:property name="opt_wn" value="true"/>
  </we:properties>
  <we:bindings/>
  <we:snapshot xmlns:r="http://schemas.openxmlformats.org/officeDocument/2006/relationships" r:embed="rId1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49750-4035-4164-86AA-7B58C75946DE}">
  <sheetPr codeName="Blad11">
    <tabColor rgb="FFFFC000"/>
  </sheetPr>
  <dimension ref="A1:E9"/>
  <sheetViews>
    <sheetView workbookViewId="0">
      <selection activeCell="B11" sqref="B11"/>
    </sheetView>
  </sheetViews>
  <sheetFormatPr defaultRowHeight="14.5" x14ac:dyDescent="0.35"/>
  <cols>
    <col min="1" max="1" width="34.7265625" bestFit="1" customWidth="1"/>
    <col min="2" max="2" width="68.453125" bestFit="1" customWidth="1"/>
    <col min="4" max="4" width="65.90625" bestFit="1" customWidth="1"/>
    <col min="6" max="6" width="57.54296875" bestFit="1" customWidth="1"/>
    <col min="7" max="7" width="16.7265625" bestFit="1" customWidth="1"/>
    <col min="8" max="8" width="6.54296875" bestFit="1" customWidth="1"/>
  </cols>
  <sheetData>
    <row r="1" spans="1:5" ht="15" thickBot="1" x14ac:dyDescent="0.4">
      <c r="A1" s="47" t="s">
        <v>37</v>
      </c>
      <c r="B1" s="48" t="s">
        <v>38</v>
      </c>
      <c r="D1" s="202" t="s">
        <v>56</v>
      </c>
      <c r="E1" s="203"/>
    </row>
    <row r="2" spans="1:5" x14ac:dyDescent="0.35">
      <c r="A2" s="49" t="s">
        <v>43</v>
      </c>
      <c r="B2" s="50" t="s">
        <v>41</v>
      </c>
      <c r="D2" s="204"/>
      <c r="E2" s="205"/>
    </row>
    <row r="3" spans="1:5" x14ac:dyDescent="0.35">
      <c r="A3" s="5" t="s">
        <v>41</v>
      </c>
      <c r="B3" s="45" t="s">
        <v>256</v>
      </c>
      <c r="D3" s="204"/>
      <c r="E3" s="205"/>
    </row>
    <row r="4" spans="1:5" x14ac:dyDescent="0.35">
      <c r="A4" s="5" t="s">
        <v>44</v>
      </c>
      <c r="B4" s="45" t="s">
        <v>257</v>
      </c>
      <c r="D4" s="204"/>
      <c r="E4" s="205"/>
    </row>
    <row r="5" spans="1:5" x14ac:dyDescent="0.35">
      <c r="A5" s="5" t="s">
        <v>39</v>
      </c>
      <c r="B5" s="45" t="s">
        <v>40</v>
      </c>
      <c r="D5" s="204"/>
      <c r="E5" s="205"/>
    </row>
    <row r="6" spans="1:5" x14ac:dyDescent="0.35">
      <c r="A6" s="5" t="s">
        <v>68</v>
      </c>
      <c r="B6" s="45" t="s">
        <v>46</v>
      </c>
      <c r="D6" s="204"/>
      <c r="E6" s="205"/>
    </row>
    <row r="7" spans="1:5" x14ac:dyDescent="0.35">
      <c r="A7" s="5" t="s">
        <v>61</v>
      </c>
      <c r="B7" s="45" t="s">
        <v>53</v>
      </c>
      <c r="D7" s="204"/>
      <c r="E7" s="205"/>
    </row>
    <row r="8" spans="1:5" ht="15" thickBot="1" x14ac:dyDescent="0.4">
      <c r="A8" s="6" t="s">
        <v>54</v>
      </c>
      <c r="B8" s="46" t="s">
        <v>55</v>
      </c>
      <c r="D8" s="204"/>
      <c r="E8" s="205"/>
    </row>
    <row r="9" spans="1:5" ht="15" thickBot="1" x14ac:dyDescent="0.4">
      <c r="A9" s="51"/>
      <c r="B9" s="52" t="s">
        <v>181</v>
      </c>
      <c r="D9" s="206"/>
      <c r="E9" s="207"/>
    </row>
  </sheetData>
  <mergeCells count="1">
    <mergeCell ref="D1:E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6CCBE4C-2B3A-4C16-929C-43ACC577BB06}">
          <x14:formula1>
            <xm:f>Lists!$E$2:$E$4</xm:f>
          </x14:formula1>
          <xm:sqref>B5</xm:sqref>
        </x14:dataValidation>
        <x14:dataValidation type="list" allowBlank="1" showInputMessage="1" showErrorMessage="1" xr:uid="{E15887D4-577A-4FAF-854C-51B8F6B03B17}">
          <x14:formula1>
            <xm:f>Lists!$F$2:$F$9</xm:f>
          </x14:formula1>
          <xm:sqref>B6:B7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FB3D1-3186-412B-9A53-91972F09DFAB}">
  <sheetPr codeName="Blad2">
    <tabColor rgb="FFFFC000"/>
  </sheetPr>
  <dimension ref="B1:Q52"/>
  <sheetViews>
    <sheetView workbookViewId="0">
      <selection activeCell="E14" sqref="E14"/>
    </sheetView>
  </sheetViews>
  <sheetFormatPr defaultRowHeight="14.5" x14ac:dyDescent="0.35"/>
  <cols>
    <col min="1" max="1" width="3" customWidth="1"/>
    <col min="2" max="2" width="6.1796875" bestFit="1" customWidth="1"/>
    <col min="3" max="3" width="12.36328125" bestFit="1" customWidth="1"/>
    <col min="4" max="4" width="16.36328125" bestFit="1" customWidth="1"/>
    <col min="5" max="5" width="29.54296875" bestFit="1" customWidth="1"/>
    <col min="6" max="6" width="11.08984375" bestFit="1" customWidth="1"/>
    <col min="7" max="7" width="10.08984375" hidden="1" customWidth="1"/>
  </cols>
  <sheetData>
    <row r="1" spans="2:17" ht="15" thickBot="1" x14ac:dyDescent="0.4"/>
    <row r="2" spans="2:17" ht="15" thickBot="1" x14ac:dyDescent="0.4">
      <c r="B2" s="8" t="s">
        <v>27</v>
      </c>
      <c r="C2" s="9" t="s">
        <v>34</v>
      </c>
      <c r="D2" s="9" t="s">
        <v>96</v>
      </c>
      <c r="E2" s="9" t="s">
        <v>35</v>
      </c>
      <c r="F2" s="10" t="s">
        <v>36</v>
      </c>
      <c r="G2" s="53" t="str">
        <f>C2</f>
        <v>race_date</v>
      </c>
      <c r="J2" s="208" t="s">
        <v>62</v>
      </c>
      <c r="K2" s="209"/>
      <c r="L2" s="209"/>
      <c r="M2" s="209"/>
      <c r="N2" s="209"/>
      <c r="O2" s="209"/>
      <c r="P2" s="209"/>
      <c r="Q2" s="210"/>
    </row>
    <row r="3" spans="2:17" x14ac:dyDescent="0.35">
      <c r="B3" s="49">
        <v>1</v>
      </c>
      <c r="C3" s="57">
        <v>46151</v>
      </c>
      <c r="D3" s="58" t="str">
        <f t="shared" ref="D3:D35" si="0">IF(C3&gt;0,WEEKNUM(C3,2)&amp;"-"&amp;YEAR(C3),"")</f>
        <v>19-2026</v>
      </c>
      <c r="E3" s="59" t="s">
        <v>100</v>
      </c>
      <c r="F3" s="60" t="s">
        <v>3</v>
      </c>
      <c r="G3" s="54">
        <f t="shared" ref="G3:G34" si="1">C3</f>
        <v>46151</v>
      </c>
      <c r="J3" s="211"/>
      <c r="K3" s="212"/>
      <c r="L3" s="212"/>
      <c r="M3" s="212"/>
      <c r="N3" s="212"/>
      <c r="O3" s="212"/>
      <c r="P3" s="212"/>
      <c r="Q3" s="213"/>
    </row>
    <row r="4" spans="2:17" x14ac:dyDescent="0.35">
      <c r="B4" s="5">
        <v>2</v>
      </c>
      <c r="C4" s="61">
        <v>46179</v>
      </c>
      <c r="D4" s="58" t="str">
        <f t="shared" si="0"/>
        <v>23-2026</v>
      </c>
      <c r="E4" s="62" t="s">
        <v>101</v>
      </c>
      <c r="F4" s="45" t="s">
        <v>4</v>
      </c>
      <c r="G4" s="55">
        <f t="shared" si="1"/>
        <v>46179</v>
      </c>
      <c r="J4" s="211"/>
      <c r="K4" s="212"/>
      <c r="L4" s="212"/>
      <c r="M4" s="212"/>
      <c r="N4" s="212"/>
      <c r="O4" s="212"/>
      <c r="P4" s="212"/>
      <c r="Q4" s="213"/>
    </row>
    <row r="5" spans="2:17" x14ac:dyDescent="0.35">
      <c r="B5" s="5">
        <v>3</v>
      </c>
      <c r="C5" s="61">
        <v>46256</v>
      </c>
      <c r="D5" s="58" t="str">
        <f t="shared" si="0"/>
        <v>34-2026</v>
      </c>
      <c r="E5" s="62" t="s">
        <v>103</v>
      </c>
      <c r="F5" s="45" t="s">
        <v>0</v>
      </c>
      <c r="G5" s="55">
        <f t="shared" si="1"/>
        <v>46256</v>
      </c>
      <c r="J5" s="211"/>
      <c r="K5" s="212"/>
      <c r="L5" s="212"/>
      <c r="M5" s="212"/>
      <c r="N5" s="212"/>
      <c r="O5" s="212"/>
      <c r="P5" s="212"/>
      <c r="Q5" s="213"/>
    </row>
    <row r="6" spans="2:17" x14ac:dyDescent="0.35">
      <c r="B6" s="5">
        <v>4</v>
      </c>
      <c r="C6" s="61">
        <v>46263</v>
      </c>
      <c r="D6" s="58" t="str">
        <f t="shared" si="0"/>
        <v>35-2026</v>
      </c>
      <c r="E6" s="62" t="s">
        <v>102</v>
      </c>
      <c r="F6" s="45" t="s">
        <v>3</v>
      </c>
      <c r="G6" s="55">
        <f t="shared" si="1"/>
        <v>46263</v>
      </c>
      <c r="J6" s="211"/>
      <c r="K6" s="212"/>
      <c r="L6" s="212"/>
      <c r="M6" s="212"/>
      <c r="N6" s="212"/>
      <c r="O6" s="212"/>
      <c r="P6" s="212"/>
      <c r="Q6" s="213"/>
    </row>
    <row r="7" spans="2:17" x14ac:dyDescent="0.35">
      <c r="B7" s="5">
        <v>5</v>
      </c>
      <c r="C7" s="61"/>
      <c r="D7" s="58" t="str">
        <f t="shared" si="0"/>
        <v/>
      </c>
      <c r="E7" s="62"/>
      <c r="F7" s="45"/>
      <c r="G7" s="55">
        <f t="shared" si="1"/>
        <v>0</v>
      </c>
      <c r="J7" s="211"/>
      <c r="K7" s="212"/>
      <c r="L7" s="212"/>
      <c r="M7" s="212"/>
      <c r="N7" s="212"/>
      <c r="O7" s="212"/>
      <c r="P7" s="212"/>
      <c r="Q7" s="213"/>
    </row>
    <row r="8" spans="2:17" x14ac:dyDescent="0.35">
      <c r="B8" s="5">
        <v>6</v>
      </c>
      <c r="C8" s="61"/>
      <c r="D8" s="58" t="str">
        <f t="shared" si="0"/>
        <v/>
      </c>
      <c r="E8" s="62"/>
      <c r="F8" s="45"/>
      <c r="G8" s="55">
        <f t="shared" si="1"/>
        <v>0</v>
      </c>
      <c r="J8" s="211"/>
      <c r="K8" s="212"/>
      <c r="L8" s="212"/>
      <c r="M8" s="212"/>
      <c r="N8" s="212"/>
      <c r="O8" s="212"/>
      <c r="P8" s="212"/>
      <c r="Q8" s="213"/>
    </row>
    <row r="9" spans="2:17" x14ac:dyDescent="0.35">
      <c r="B9" s="5">
        <v>7</v>
      </c>
      <c r="C9" s="61"/>
      <c r="D9" s="58" t="str">
        <f t="shared" si="0"/>
        <v/>
      </c>
      <c r="E9" s="62"/>
      <c r="F9" s="45"/>
      <c r="G9" s="55">
        <f t="shared" si="1"/>
        <v>0</v>
      </c>
      <c r="J9" s="211"/>
      <c r="K9" s="212"/>
      <c r="L9" s="212"/>
      <c r="M9" s="212"/>
      <c r="N9" s="212"/>
      <c r="O9" s="212"/>
      <c r="P9" s="212"/>
      <c r="Q9" s="213"/>
    </row>
    <row r="10" spans="2:17" ht="15" thickBot="1" x14ac:dyDescent="0.4">
      <c r="B10" s="5">
        <v>8</v>
      </c>
      <c r="C10" s="61"/>
      <c r="D10" s="58" t="str">
        <f t="shared" si="0"/>
        <v/>
      </c>
      <c r="E10" s="62"/>
      <c r="F10" s="45"/>
      <c r="G10" s="55">
        <f t="shared" si="1"/>
        <v>0</v>
      </c>
      <c r="J10" s="214"/>
      <c r="K10" s="215"/>
      <c r="L10" s="215"/>
      <c r="M10" s="215"/>
      <c r="N10" s="215"/>
      <c r="O10" s="215"/>
      <c r="P10" s="215"/>
      <c r="Q10" s="216"/>
    </row>
    <row r="11" spans="2:17" x14ac:dyDescent="0.35">
      <c r="B11" s="5">
        <v>8</v>
      </c>
      <c r="C11" s="61"/>
      <c r="D11" s="58" t="str">
        <f t="shared" si="0"/>
        <v/>
      </c>
      <c r="E11" s="62"/>
      <c r="F11" s="45"/>
      <c r="G11" s="55">
        <f t="shared" si="1"/>
        <v>0</v>
      </c>
    </row>
    <row r="12" spans="2:17" x14ac:dyDescent="0.35">
      <c r="B12" s="5">
        <v>9</v>
      </c>
      <c r="C12" s="61"/>
      <c r="D12" s="58" t="str">
        <f t="shared" si="0"/>
        <v/>
      </c>
      <c r="E12" s="62"/>
      <c r="F12" s="45"/>
      <c r="G12" s="55">
        <f t="shared" si="1"/>
        <v>0</v>
      </c>
    </row>
    <row r="13" spans="2:17" x14ac:dyDescent="0.35">
      <c r="B13" s="5">
        <v>10</v>
      </c>
      <c r="C13" s="61"/>
      <c r="D13" s="58" t="str">
        <f t="shared" si="0"/>
        <v/>
      </c>
      <c r="E13" s="62"/>
      <c r="F13" s="45"/>
      <c r="G13" s="55">
        <f t="shared" si="1"/>
        <v>0</v>
      </c>
    </row>
    <row r="14" spans="2:17" x14ac:dyDescent="0.35">
      <c r="B14" s="5">
        <v>11</v>
      </c>
      <c r="C14" s="61"/>
      <c r="D14" s="58" t="str">
        <f t="shared" si="0"/>
        <v/>
      </c>
      <c r="E14" s="62"/>
      <c r="F14" s="45"/>
      <c r="G14" s="55">
        <f t="shared" si="1"/>
        <v>0</v>
      </c>
    </row>
    <row r="15" spans="2:17" x14ac:dyDescent="0.35">
      <c r="B15" s="5">
        <v>12</v>
      </c>
      <c r="C15" s="61"/>
      <c r="D15" s="58" t="str">
        <f t="shared" si="0"/>
        <v/>
      </c>
      <c r="E15" s="62"/>
      <c r="F15" s="45"/>
      <c r="G15" s="55">
        <f t="shared" si="1"/>
        <v>0</v>
      </c>
    </row>
    <row r="16" spans="2:17" x14ac:dyDescent="0.35">
      <c r="B16" s="5">
        <v>13</v>
      </c>
      <c r="C16" s="61"/>
      <c r="D16" s="58" t="str">
        <f t="shared" si="0"/>
        <v/>
      </c>
      <c r="E16" s="62"/>
      <c r="F16" s="45"/>
      <c r="G16" s="55">
        <f t="shared" si="1"/>
        <v>0</v>
      </c>
    </row>
    <row r="17" spans="2:7" x14ac:dyDescent="0.35">
      <c r="B17" s="5">
        <v>14</v>
      </c>
      <c r="C17" s="61"/>
      <c r="D17" s="58" t="str">
        <f t="shared" si="0"/>
        <v/>
      </c>
      <c r="E17" s="62"/>
      <c r="F17" s="45"/>
      <c r="G17" s="55">
        <f t="shared" si="1"/>
        <v>0</v>
      </c>
    </row>
    <row r="18" spans="2:7" x14ac:dyDescent="0.35">
      <c r="B18" s="5">
        <v>15</v>
      </c>
      <c r="C18" s="61"/>
      <c r="D18" s="58" t="str">
        <f t="shared" si="0"/>
        <v/>
      </c>
      <c r="E18" s="62"/>
      <c r="F18" s="45"/>
      <c r="G18" s="55">
        <f t="shared" si="1"/>
        <v>0</v>
      </c>
    </row>
    <row r="19" spans="2:7" x14ac:dyDescent="0.35">
      <c r="B19" s="5">
        <v>16</v>
      </c>
      <c r="C19" s="61"/>
      <c r="D19" s="58" t="str">
        <f t="shared" si="0"/>
        <v/>
      </c>
      <c r="E19" s="62"/>
      <c r="F19" s="45"/>
      <c r="G19" s="55">
        <f t="shared" si="1"/>
        <v>0</v>
      </c>
    </row>
    <row r="20" spans="2:7" x14ac:dyDescent="0.35">
      <c r="B20" s="5">
        <v>17</v>
      </c>
      <c r="C20" s="61"/>
      <c r="D20" s="58" t="str">
        <f t="shared" si="0"/>
        <v/>
      </c>
      <c r="E20" s="62"/>
      <c r="F20" s="45"/>
      <c r="G20" s="55">
        <f t="shared" si="1"/>
        <v>0</v>
      </c>
    </row>
    <row r="21" spans="2:7" x14ac:dyDescent="0.35">
      <c r="B21" s="5">
        <v>18</v>
      </c>
      <c r="C21" s="61"/>
      <c r="D21" s="58" t="str">
        <f t="shared" si="0"/>
        <v/>
      </c>
      <c r="E21" s="62"/>
      <c r="F21" s="45"/>
      <c r="G21" s="55">
        <f t="shared" si="1"/>
        <v>0</v>
      </c>
    </row>
    <row r="22" spans="2:7" x14ac:dyDescent="0.35">
      <c r="B22" s="5">
        <v>19</v>
      </c>
      <c r="C22" s="61"/>
      <c r="D22" s="58" t="str">
        <f t="shared" si="0"/>
        <v/>
      </c>
      <c r="E22" s="62"/>
      <c r="F22" s="45"/>
      <c r="G22" s="55">
        <f t="shared" si="1"/>
        <v>0</v>
      </c>
    </row>
    <row r="23" spans="2:7" x14ac:dyDescent="0.35">
      <c r="B23" s="5">
        <v>21</v>
      </c>
      <c r="C23" s="61"/>
      <c r="D23" s="58" t="str">
        <f t="shared" si="0"/>
        <v/>
      </c>
      <c r="E23" s="62"/>
      <c r="F23" s="45"/>
      <c r="G23" s="55">
        <f t="shared" si="1"/>
        <v>0</v>
      </c>
    </row>
    <row r="24" spans="2:7" x14ac:dyDescent="0.35">
      <c r="B24" s="5">
        <v>22</v>
      </c>
      <c r="C24" s="61"/>
      <c r="D24" s="58" t="str">
        <f t="shared" si="0"/>
        <v/>
      </c>
      <c r="E24" s="62"/>
      <c r="F24" s="45"/>
      <c r="G24" s="55">
        <f t="shared" si="1"/>
        <v>0</v>
      </c>
    </row>
    <row r="25" spans="2:7" x14ac:dyDescent="0.35">
      <c r="B25" s="5">
        <v>23</v>
      </c>
      <c r="C25" s="61"/>
      <c r="D25" s="58" t="str">
        <f t="shared" si="0"/>
        <v/>
      </c>
      <c r="E25" s="62"/>
      <c r="F25" s="45"/>
      <c r="G25" s="55">
        <f t="shared" si="1"/>
        <v>0</v>
      </c>
    </row>
    <row r="26" spans="2:7" x14ac:dyDescent="0.35">
      <c r="B26" s="5">
        <v>24</v>
      </c>
      <c r="C26" s="61"/>
      <c r="D26" s="58" t="str">
        <f t="shared" si="0"/>
        <v/>
      </c>
      <c r="E26" s="62"/>
      <c r="F26" s="45"/>
      <c r="G26" s="55">
        <f t="shared" si="1"/>
        <v>0</v>
      </c>
    </row>
    <row r="27" spans="2:7" x14ac:dyDescent="0.35">
      <c r="B27" s="5">
        <v>25</v>
      </c>
      <c r="C27" s="61"/>
      <c r="D27" s="58" t="str">
        <f t="shared" si="0"/>
        <v/>
      </c>
      <c r="E27" s="62"/>
      <c r="F27" s="45"/>
      <c r="G27" s="55">
        <f t="shared" si="1"/>
        <v>0</v>
      </c>
    </row>
    <row r="28" spans="2:7" x14ac:dyDescent="0.35">
      <c r="B28" s="5">
        <v>26</v>
      </c>
      <c r="C28" s="62"/>
      <c r="D28" s="58" t="str">
        <f t="shared" si="0"/>
        <v/>
      </c>
      <c r="E28" s="62"/>
      <c r="F28" s="45"/>
      <c r="G28" s="55">
        <f t="shared" si="1"/>
        <v>0</v>
      </c>
    </row>
    <row r="29" spans="2:7" x14ac:dyDescent="0.35">
      <c r="B29" s="5">
        <v>27</v>
      </c>
      <c r="C29" s="62"/>
      <c r="D29" s="58" t="str">
        <f t="shared" si="0"/>
        <v/>
      </c>
      <c r="E29" s="62"/>
      <c r="F29" s="45"/>
      <c r="G29" s="55">
        <f t="shared" si="1"/>
        <v>0</v>
      </c>
    </row>
    <row r="30" spans="2:7" x14ac:dyDescent="0.35">
      <c r="B30" s="5">
        <v>28</v>
      </c>
      <c r="C30" s="62"/>
      <c r="D30" s="58" t="str">
        <f t="shared" si="0"/>
        <v/>
      </c>
      <c r="E30" s="62"/>
      <c r="F30" s="45"/>
      <c r="G30" s="55">
        <f t="shared" si="1"/>
        <v>0</v>
      </c>
    </row>
    <row r="31" spans="2:7" x14ac:dyDescent="0.35">
      <c r="B31" s="5">
        <v>29</v>
      </c>
      <c r="C31" s="62"/>
      <c r="D31" s="58" t="str">
        <f t="shared" si="0"/>
        <v/>
      </c>
      <c r="E31" s="62"/>
      <c r="F31" s="45"/>
      <c r="G31" s="55">
        <f t="shared" si="1"/>
        <v>0</v>
      </c>
    </row>
    <row r="32" spans="2:7" x14ac:dyDescent="0.35">
      <c r="B32" s="5">
        <v>30</v>
      </c>
      <c r="C32" s="62"/>
      <c r="D32" s="58" t="str">
        <f t="shared" si="0"/>
        <v/>
      </c>
      <c r="E32" s="62"/>
      <c r="F32" s="45"/>
      <c r="G32" s="55">
        <f t="shared" si="1"/>
        <v>0</v>
      </c>
    </row>
    <row r="33" spans="2:7" x14ac:dyDescent="0.35">
      <c r="B33" s="5">
        <v>31</v>
      </c>
      <c r="C33" s="62"/>
      <c r="D33" s="58" t="str">
        <f t="shared" si="0"/>
        <v/>
      </c>
      <c r="E33" s="62"/>
      <c r="F33" s="45"/>
      <c r="G33" s="55">
        <f t="shared" si="1"/>
        <v>0</v>
      </c>
    </row>
    <row r="34" spans="2:7" ht="15" thickBot="1" x14ac:dyDescent="0.4">
      <c r="B34" s="5">
        <v>32</v>
      </c>
      <c r="C34" s="62"/>
      <c r="D34" s="58" t="str">
        <f t="shared" si="0"/>
        <v/>
      </c>
      <c r="E34" s="62"/>
      <c r="F34" s="45"/>
      <c r="G34" s="56">
        <f t="shared" si="1"/>
        <v>0</v>
      </c>
    </row>
    <row r="35" spans="2:7" x14ac:dyDescent="0.35">
      <c r="B35" s="5">
        <v>33</v>
      </c>
      <c r="C35" s="62"/>
      <c r="D35" s="58" t="str">
        <f t="shared" si="0"/>
        <v/>
      </c>
      <c r="E35" s="62"/>
      <c r="F35" s="45"/>
    </row>
    <row r="36" spans="2:7" x14ac:dyDescent="0.35">
      <c r="B36" s="5">
        <v>34</v>
      </c>
      <c r="C36" s="62"/>
      <c r="D36" s="58" t="str">
        <f>IF(C36&gt;0,WEEKNUM(C36,2)&amp;"-"&amp;YEAR(C36),"")</f>
        <v/>
      </c>
      <c r="E36" s="62"/>
      <c r="F36" s="45"/>
    </row>
    <row r="37" spans="2:7" x14ac:dyDescent="0.35">
      <c r="B37" s="5">
        <v>35</v>
      </c>
      <c r="C37" s="62"/>
      <c r="D37" s="58" t="str">
        <f t="shared" ref="D37:D52" si="2">IF(C37&gt;0,WEEKNUM(C37,2)&amp;"-"&amp;YEAR(C37),"")</f>
        <v/>
      </c>
      <c r="E37" s="62"/>
      <c r="F37" s="45"/>
    </row>
    <row r="38" spans="2:7" x14ac:dyDescent="0.35">
      <c r="B38" s="5">
        <v>36</v>
      </c>
      <c r="C38" s="62"/>
      <c r="D38" s="58" t="str">
        <f t="shared" si="2"/>
        <v/>
      </c>
      <c r="E38" s="62"/>
      <c r="F38" s="45"/>
    </row>
    <row r="39" spans="2:7" x14ac:dyDescent="0.35">
      <c r="B39" s="5">
        <v>37</v>
      </c>
      <c r="C39" s="62"/>
      <c r="D39" s="58" t="str">
        <f t="shared" si="2"/>
        <v/>
      </c>
      <c r="E39" s="62"/>
      <c r="F39" s="45"/>
    </row>
    <row r="40" spans="2:7" x14ac:dyDescent="0.35">
      <c r="B40" s="5">
        <v>38</v>
      </c>
      <c r="C40" s="62"/>
      <c r="D40" s="58" t="str">
        <f t="shared" si="2"/>
        <v/>
      </c>
      <c r="E40" s="62"/>
      <c r="F40" s="45"/>
    </row>
    <row r="41" spans="2:7" x14ac:dyDescent="0.35">
      <c r="B41" s="5">
        <v>39</v>
      </c>
      <c r="C41" s="62"/>
      <c r="D41" s="58" t="str">
        <f t="shared" si="2"/>
        <v/>
      </c>
      <c r="E41" s="62"/>
      <c r="F41" s="45"/>
    </row>
    <row r="42" spans="2:7" x14ac:dyDescent="0.35">
      <c r="B42" s="5">
        <v>40</v>
      </c>
      <c r="C42" s="62"/>
      <c r="D42" s="58" t="str">
        <f t="shared" si="2"/>
        <v/>
      </c>
      <c r="E42" s="62"/>
      <c r="F42" s="45"/>
    </row>
    <row r="43" spans="2:7" x14ac:dyDescent="0.35">
      <c r="B43" s="5">
        <v>41</v>
      </c>
      <c r="C43" s="62"/>
      <c r="D43" s="58" t="str">
        <f t="shared" si="2"/>
        <v/>
      </c>
      <c r="E43" s="62"/>
      <c r="F43" s="45"/>
    </row>
    <row r="44" spans="2:7" x14ac:dyDescent="0.35">
      <c r="B44" s="5">
        <v>42</v>
      </c>
      <c r="C44" s="62"/>
      <c r="D44" s="58" t="str">
        <f t="shared" si="2"/>
        <v/>
      </c>
      <c r="E44" s="62"/>
      <c r="F44" s="45"/>
    </row>
    <row r="45" spans="2:7" x14ac:dyDescent="0.35">
      <c r="B45" s="5">
        <v>43</v>
      </c>
      <c r="C45" s="62"/>
      <c r="D45" s="58" t="str">
        <f t="shared" si="2"/>
        <v/>
      </c>
      <c r="E45" s="62"/>
      <c r="F45" s="45"/>
    </row>
    <row r="46" spans="2:7" x14ac:dyDescent="0.35">
      <c r="B46" s="5">
        <v>44</v>
      </c>
      <c r="C46" s="62"/>
      <c r="D46" s="58" t="str">
        <f t="shared" si="2"/>
        <v/>
      </c>
      <c r="E46" s="62"/>
      <c r="F46" s="45"/>
    </row>
    <row r="47" spans="2:7" x14ac:dyDescent="0.35">
      <c r="B47" s="5">
        <v>45</v>
      </c>
      <c r="C47" s="62"/>
      <c r="D47" s="58" t="str">
        <f t="shared" si="2"/>
        <v/>
      </c>
      <c r="E47" s="62"/>
      <c r="F47" s="45"/>
    </row>
    <row r="48" spans="2:7" x14ac:dyDescent="0.35">
      <c r="B48" s="5">
        <v>46</v>
      </c>
      <c r="C48" s="62"/>
      <c r="D48" s="58" t="str">
        <f t="shared" si="2"/>
        <v/>
      </c>
      <c r="E48" s="62"/>
      <c r="F48" s="45"/>
    </row>
    <row r="49" spans="2:6" x14ac:dyDescent="0.35">
      <c r="B49" s="5">
        <v>47</v>
      </c>
      <c r="C49" s="62"/>
      <c r="D49" s="58" t="str">
        <f t="shared" si="2"/>
        <v/>
      </c>
      <c r="E49" s="62"/>
      <c r="F49" s="45"/>
    </row>
    <row r="50" spans="2:6" x14ac:dyDescent="0.35">
      <c r="B50" s="5">
        <v>48</v>
      </c>
      <c r="C50" s="62"/>
      <c r="D50" s="58" t="str">
        <f t="shared" si="2"/>
        <v/>
      </c>
      <c r="E50" s="62"/>
      <c r="F50" s="45"/>
    </row>
    <row r="51" spans="2:6" x14ac:dyDescent="0.35">
      <c r="B51" s="5">
        <v>49</v>
      </c>
      <c r="C51" s="62"/>
      <c r="D51" s="58" t="str">
        <f t="shared" si="2"/>
        <v/>
      </c>
      <c r="E51" s="62"/>
      <c r="F51" s="45"/>
    </row>
    <row r="52" spans="2:6" ht="15" thickBot="1" x14ac:dyDescent="0.4">
      <c r="B52" s="6">
        <v>50</v>
      </c>
      <c r="C52" s="63"/>
      <c r="D52" s="58" t="str">
        <f t="shared" si="2"/>
        <v/>
      </c>
      <c r="E52" s="63"/>
      <c r="F52" s="46"/>
    </row>
  </sheetData>
  <sheetProtection sheet="1" objects="1" scenarios="1"/>
  <autoFilter ref="B2:F34" xr:uid="{085FB3D1-3186-412B-9A53-91972F09DFAB}">
    <sortState xmlns:xlrd2="http://schemas.microsoft.com/office/spreadsheetml/2017/richdata2" ref="B3:F52">
      <sortCondition ref="B2:B34"/>
    </sortState>
  </autoFilter>
  <mergeCells count="1">
    <mergeCell ref="J2:Q10"/>
  </mergeCells>
  <phoneticPr fontId="4" type="noConversion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A33D53-A622-496B-94F4-22590099522A}">
          <x14:formula1>
            <xm:f>Lists!$D$2:$D$4</xm:f>
          </x14:formula1>
          <xm:sqref>F22:F52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4E067-232B-4E14-9992-D36EA98ADCF7}">
  <sheetPr codeName="Blad12">
    <tabColor rgb="FFFFC000"/>
  </sheetPr>
  <dimension ref="B1:AG29"/>
  <sheetViews>
    <sheetView workbookViewId="0">
      <selection activeCell="C5" sqref="C5"/>
    </sheetView>
  </sheetViews>
  <sheetFormatPr defaultRowHeight="14.5" x14ac:dyDescent="0.35"/>
  <cols>
    <col min="1" max="1" width="3.36328125" customWidth="1"/>
    <col min="2" max="2" width="32.54296875" bestFit="1" customWidth="1"/>
    <col min="3" max="3" width="11.81640625" bestFit="1" customWidth="1"/>
    <col min="4" max="4" width="57.36328125" bestFit="1" customWidth="1"/>
    <col min="8" max="8" width="8.90625" customWidth="1"/>
    <col min="9" max="9" width="3.1796875" hidden="1" customWidth="1"/>
    <col min="10" max="10" width="6.453125" hidden="1" customWidth="1"/>
    <col min="11" max="11" width="5.54296875" hidden="1" customWidth="1"/>
    <col min="12" max="12" width="6" hidden="1" customWidth="1"/>
    <col min="13" max="13" width="8.08984375" bestFit="1" customWidth="1"/>
    <col min="14" max="14" width="10.26953125" bestFit="1" customWidth="1"/>
  </cols>
  <sheetData>
    <row r="1" spans="2:33" ht="15" thickBot="1" x14ac:dyDescent="0.4">
      <c r="O1" s="220" t="s">
        <v>85</v>
      </c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221"/>
      <c r="AD1" s="221"/>
      <c r="AE1" s="221"/>
      <c r="AF1" s="221"/>
      <c r="AG1" s="222"/>
    </row>
    <row r="2" spans="2:33" ht="15" thickBot="1" x14ac:dyDescent="0.4">
      <c r="B2" s="217" t="s">
        <v>58</v>
      </c>
      <c r="C2" s="218"/>
      <c r="D2" s="219"/>
      <c r="G2" s="1"/>
      <c r="I2" t="s">
        <v>27</v>
      </c>
      <c r="J2" t="s">
        <v>76</v>
      </c>
      <c r="K2" t="s">
        <v>12</v>
      </c>
      <c r="L2" t="s">
        <v>84</v>
      </c>
      <c r="M2" s="19" t="s">
        <v>76</v>
      </c>
      <c r="N2" s="29">
        <v>25000</v>
      </c>
      <c r="O2" s="30">
        <v>15000</v>
      </c>
      <c r="P2" s="30">
        <v>17500</v>
      </c>
      <c r="Q2" s="30">
        <v>20000</v>
      </c>
      <c r="R2" s="30">
        <v>22500</v>
      </c>
      <c r="S2" s="30">
        <v>25000</v>
      </c>
      <c r="T2" s="30">
        <v>27500</v>
      </c>
      <c r="U2" s="30">
        <v>30000</v>
      </c>
      <c r="V2" s="30">
        <v>32500</v>
      </c>
      <c r="W2" s="30">
        <v>35000</v>
      </c>
      <c r="X2" s="30">
        <v>37500</v>
      </c>
      <c r="Y2" s="30">
        <v>40000</v>
      </c>
      <c r="Z2" s="30">
        <v>42500</v>
      </c>
      <c r="AA2" s="30">
        <v>45000</v>
      </c>
      <c r="AB2" s="30">
        <v>47500</v>
      </c>
      <c r="AC2" s="30">
        <v>50000</v>
      </c>
      <c r="AD2" s="30">
        <v>52500</v>
      </c>
      <c r="AE2" s="30">
        <v>55000</v>
      </c>
      <c r="AF2" s="30">
        <v>57500</v>
      </c>
      <c r="AG2" s="7">
        <v>60000</v>
      </c>
    </row>
    <row r="3" spans="2:33" x14ac:dyDescent="0.35">
      <c r="B3" s="64" t="s">
        <v>28</v>
      </c>
      <c r="C3" s="196">
        <v>46027</v>
      </c>
      <c r="D3" s="64" t="str">
        <f>IF(WEEKDAY(C3,11)&gt;1,"Not a Monday!","ATP starts on a Monday: OK! ")</f>
        <v xml:space="preserve">ATP starts on a Monday: OK! </v>
      </c>
      <c r="G3" s="1"/>
      <c r="I3" s="16">
        <v>2</v>
      </c>
      <c r="J3" s="16" t="s">
        <v>74</v>
      </c>
      <c r="K3" s="16"/>
      <c r="L3" s="16">
        <v>62.5</v>
      </c>
      <c r="M3" s="38" t="str">
        <f>J3</f>
        <v>Prep</v>
      </c>
      <c r="N3" s="39">
        <f t="shared" ref="N3:N27" si="0">MROUND(HLOOKUP($N$2,$O$2:$AG$29,I3),10)</f>
        <v>400</v>
      </c>
      <c r="O3" s="40">
        <f t="shared" ref="O3:X12" si="1">O$2/$L3</f>
        <v>240</v>
      </c>
      <c r="P3" s="40">
        <f t="shared" si="1"/>
        <v>280</v>
      </c>
      <c r="Q3" s="40">
        <f t="shared" si="1"/>
        <v>320</v>
      </c>
      <c r="R3" s="40">
        <f t="shared" si="1"/>
        <v>360</v>
      </c>
      <c r="S3" s="40">
        <f t="shared" si="1"/>
        <v>400</v>
      </c>
      <c r="T3" s="40">
        <f t="shared" si="1"/>
        <v>440</v>
      </c>
      <c r="U3" s="40">
        <f t="shared" si="1"/>
        <v>480</v>
      </c>
      <c r="V3" s="40">
        <f t="shared" si="1"/>
        <v>520</v>
      </c>
      <c r="W3" s="40">
        <f t="shared" si="1"/>
        <v>560</v>
      </c>
      <c r="X3" s="40">
        <f t="shared" si="1"/>
        <v>600</v>
      </c>
      <c r="Y3" s="40">
        <f t="shared" ref="Y3:AG12" si="2">Y$2/$L3</f>
        <v>640</v>
      </c>
      <c r="Z3" s="40">
        <f t="shared" si="2"/>
        <v>680</v>
      </c>
      <c r="AA3" s="40">
        <f t="shared" si="2"/>
        <v>720</v>
      </c>
      <c r="AB3" s="40">
        <f t="shared" si="2"/>
        <v>760</v>
      </c>
      <c r="AC3" s="40">
        <f t="shared" si="2"/>
        <v>800</v>
      </c>
      <c r="AD3" s="40">
        <f t="shared" si="2"/>
        <v>840</v>
      </c>
      <c r="AE3" s="40">
        <f t="shared" si="2"/>
        <v>880</v>
      </c>
      <c r="AF3" s="40">
        <f t="shared" si="2"/>
        <v>920</v>
      </c>
      <c r="AG3" s="39">
        <f t="shared" si="2"/>
        <v>960</v>
      </c>
    </row>
    <row r="4" spans="2:33" x14ac:dyDescent="0.35">
      <c r="B4" s="65" t="s">
        <v>73</v>
      </c>
      <c r="C4" s="68">
        <v>46387</v>
      </c>
      <c r="D4" s="65" t="str">
        <f>IF(WEEKDAY(C4,11)&gt;1,"Not a Monday!","ATP ends on a Monday: OK! ")</f>
        <v>Not a Monday!</v>
      </c>
      <c r="G4" s="1"/>
      <c r="I4" s="13">
        <f t="shared" ref="I4:I27" si="3">I3+1</f>
        <v>3</v>
      </c>
      <c r="J4" s="13" t="s">
        <v>77</v>
      </c>
      <c r="K4" s="13">
        <v>1</v>
      </c>
      <c r="L4" s="13">
        <v>53.571428571428569</v>
      </c>
      <c r="M4" s="22" t="str">
        <f t="shared" ref="M4:M22" si="4">J4&amp;"-"&amp;K4</f>
        <v>Base 1-1</v>
      </c>
      <c r="N4" s="23">
        <f t="shared" si="0"/>
        <v>470</v>
      </c>
      <c r="O4" s="13">
        <f t="shared" si="1"/>
        <v>280</v>
      </c>
      <c r="P4" s="13">
        <f t="shared" si="1"/>
        <v>326.66666666666669</v>
      </c>
      <c r="Q4" s="13">
        <f t="shared" si="1"/>
        <v>373.33333333333337</v>
      </c>
      <c r="R4" s="13">
        <f t="shared" si="1"/>
        <v>420</v>
      </c>
      <c r="S4" s="13">
        <f t="shared" si="1"/>
        <v>466.66666666666669</v>
      </c>
      <c r="T4" s="13">
        <f t="shared" si="1"/>
        <v>513.33333333333337</v>
      </c>
      <c r="U4" s="13">
        <f t="shared" si="1"/>
        <v>560</v>
      </c>
      <c r="V4" s="13">
        <f t="shared" si="1"/>
        <v>606.66666666666674</v>
      </c>
      <c r="W4" s="13">
        <f t="shared" si="1"/>
        <v>653.33333333333337</v>
      </c>
      <c r="X4" s="13">
        <f t="shared" si="1"/>
        <v>700</v>
      </c>
      <c r="Y4" s="13">
        <f t="shared" si="2"/>
        <v>746.66666666666674</v>
      </c>
      <c r="Z4" s="13">
        <f t="shared" si="2"/>
        <v>793.33333333333337</v>
      </c>
      <c r="AA4" s="13">
        <f t="shared" si="2"/>
        <v>840</v>
      </c>
      <c r="AB4" s="13">
        <f t="shared" si="2"/>
        <v>886.66666666666674</v>
      </c>
      <c r="AC4" s="13">
        <f t="shared" si="2"/>
        <v>933.33333333333337</v>
      </c>
      <c r="AD4" s="13">
        <f t="shared" si="2"/>
        <v>980</v>
      </c>
      <c r="AE4" s="13">
        <f t="shared" si="2"/>
        <v>1026.6666666666667</v>
      </c>
      <c r="AF4" s="13">
        <f t="shared" si="2"/>
        <v>1073.3333333333335</v>
      </c>
      <c r="AG4" s="23">
        <f>AG$2/$L4</f>
        <v>1120</v>
      </c>
    </row>
    <row r="5" spans="2:33" x14ac:dyDescent="0.35">
      <c r="B5" s="65" t="s">
        <v>82</v>
      </c>
      <c r="C5" s="69">
        <v>22500</v>
      </c>
      <c r="D5" s="65" t="s">
        <v>88</v>
      </c>
      <c r="G5" s="1"/>
      <c r="I5" s="13">
        <f t="shared" si="3"/>
        <v>4</v>
      </c>
      <c r="J5" s="13" t="s">
        <v>77</v>
      </c>
      <c r="K5" s="13">
        <v>2</v>
      </c>
      <c r="L5" s="13">
        <v>48.387096774193552</v>
      </c>
      <c r="M5" s="22" t="str">
        <f t="shared" si="4"/>
        <v>Base 1-2</v>
      </c>
      <c r="N5" s="23">
        <f t="shared" si="0"/>
        <v>520</v>
      </c>
      <c r="O5" s="13">
        <f t="shared" si="1"/>
        <v>310</v>
      </c>
      <c r="P5" s="13">
        <f t="shared" si="1"/>
        <v>361.66666666666663</v>
      </c>
      <c r="Q5" s="13">
        <f t="shared" si="1"/>
        <v>413.33333333333331</v>
      </c>
      <c r="R5" s="13">
        <f t="shared" si="1"/>
        <v>464.99999999999994</v>
      </c>
      <c r="S5" s="13">
        <f t="shared" si="1"/>
        <v>516.66666666666663</v>
      </c>
      <c r="T5" s="13">
        <f t="shared" si="1"/>
        <v>568.33333333333326</v>
      </c>
      <c r="U5" s="13">
        <f t="shared" si="1"/>
        <v>620</v>
      </c>
      <c r="V5" s="13">
        <f t="shared" si="1"/>
        <v>671.66666666666663</v>
      </c>
      <c r="W5" s="13">
        <f t="shared" si="1"/>
        <v>723.33333333333326</v>
      </c>
      <c r="X5" s="13">
        <f t="shared" si="1"/>
        <v>775</v>
      </c>
      <c r="Y5" s="13">
        <f t="shared" si="2"/>
        <v>826.66666666666663</v>
      </c>
      <c r="Z5" s="13">
        <f t="shared" si="2"/>
        <v>878.33333333333326</v>
      </c>
      <c r="AA5" s="13">
        <f t="shared" si="2"/>
        <v>929.99999999999989</v>
      </c>
      <c r="AB5" s="13">
        <f t="shared" si="2"/>
        <v>981.66666666666663</v>
      </c>
      <c r="AC5" s="13">
        <f t="shared" si="2"/>
        <v>1033.3333333333333</v>
      </c>
      <c r="AD5" s="13">
        <f t="shared" si="2"/>
        <v>1085</v>
      </c>
      <c r="AE5" s="13">
        <f t="shared" si="2"/>
        <v>1136.6666666666665</v>
      </c>
      <c r="AF5" s="13">
        <f t="shared" si="2"/>
        <v>1188.3333333333333</v>
      </c>
      <c r="AG5" s="23">
        <f t="shared" si="2"/>
        <v>1240</v>
      </c>
    </row>
    <row r="6" spans="2:33" x14ac:dyDescent="0.35">
      <c r="B6" s="65" t="s">
        <v>99</v>
      </c>
      <c r="C6" s="69">
        <v>0</v>
      </c>
      <c r="D6" s="65" t="s">
        <v>93</v>
      </c>
      <c r="G6" s="1"/>
      <c r="I6" s="13">
        <f t="shared" si="3"/>
        <v>5</v>
      </c>
      <c r="J6" s="13" t="s">
        <v>77</v>
      </c>
      <c r="K6" s="13">
        <v>3</v>
      </c>
      <c r="L6" s="13">
        <v>42.857142857142854</v>
      </c>
      <c r="M6" s="22" t="str">
        <f t="shared" si="4"/>
        <v>Base 1-3</v>
      </c>
      <c r="N6" s="23">
        <f t="shared" si="0"/>
        <v>580</v>
      </c>
      <c r="O6" s="13">
        <f t="shared" si="1"/>
        <v>350</v>
      </c>
      <c r="P6" s="13">
        <f t="shared" si="1"/>
        <v>408.33333333333337</v>
      </c>
      <c r="Q6" s="13">
        <f t="shared" si="1"/>
        <v>466.66666666666669</v>
      </c>
      <c r="R6" s="13">
        <f t="shared" si="1"/>
        <v>525</v>
      </c>
      <c r="S6" s="13">
        <f t="shared" si="1"/>
        <v>583.33333333333337</v>
      </c>
      <c r="T6" s="13">
        <f t="shared" si="1"/>
        <v>641.66666666666674</v>
      </c>
      <c r="U6" s="13">
        <f t="shared" si="1"/>
        <v>700</v>
      </c>
      <c r="V6" s="13">
        <f t="shared" si="1"/>
        <v>758.33333333333337</v>
      </c>
      <c r="W6" s="13">
        <f t="shared" si="1"/>
        <v>816.66666666666674</v>
      </c>
      <c r="X6" s="13">
        <f t="shared" si="1"/>
        <v>875.00000000000011</v>
      </c>
      <c r="Y6" s="13">
        <f t="shared" si="2"/>
        <v>933.33333333333337</v>
      </c>
      <c r="Z6" s="13">
        <f t="shared" si="2"/>
        <v>991.66666666666674</v>
      </c>
      <c r="AA6" s="13">
        <f t="shared" si="2"/>
        <v>1050</v>
      </c>
      <c r="AB6" s="13">
        <f t="shared" si="2"/>
        <v>1108.3333333333335</v>
      </c>
      <c r="AC6" s="13">
        <f t="shared" si="2"/>
        <v>1166.6666666666667</v>
      </c>
      <c r="AD6" s="13">
        <f t="shared" si="2"/>
        <v>1225</v>
      </c>
      <c r="AE6" s="13">
        <f t="shared" si="2"/>
        <v>1283.3333333333335</v>
      </c>
      <c r="AF6" s="13">
        <f t="shared" si="2"/>
        <v>1341.6666666666667</v>
      </c>
      <c r="AG6" s="23">
        <f t="shared" si="2"/>
        <v>1400</v>
      </c>
    </row>
    <row r="7" spans="2:33" x14ac:dyDescent="0.35">
      <c r="B7" s="65" t="s">
        <v>32</v>
      </c>
      <c r="C7" s="70">
        <v>70</v>
      </c>
      <c r="D7" s="66"/>
      <c r="G7" s="1"/>
      <c r="I7" s="13">
        <f t="shared" si="3"/>
        <v>6</v>
      </c>
      <c r="J7" s="13" t="s">
        <v>77</v>
      </c>
      <c r="K7" s="13">
        <v>4</v>
      </c>
      <c r="L7" s="13">
        <v>62.5</v>
      </c>
      <c r="M7" s="22" t="str">
        <f t="shared" si="4"/>
        <v>Base 1-4</v>
      </c>
      <c r="N7" s="23">
        <f t="shared" si="0"/>
        <v>400</v>
      </c>
      <c r="O7" s="13">
        <f t="shared" si="1"/>
        <v>240</v>
      </c>
      <c r="P7" s="13">
        <f t="shared" si="1"/>
        <v>280</v>
      </c>
      <c r="Q7" s="13">
        <f t="shared" si="1"/>
        <v>320</v>
      </c>
      <c r="R7" s="13">
        <f t="shared" si="1"/>
        <v>360</v>
      </c>
      <c r="S7" s="13">
        <f t="shared" si="1"/>
        <v>400</v>
      </c>
      <c r="T7" s="13">
        <f t="shared" si="1"/>
        <v>440</v>
      </c>
      <c r="U7" s="13">
        <f t="shared" si="1"/>
        <v>480</v>
      </c>
      <c r="V7" s="13">
        <f t="shared" si="1"/>
        <v>520</v>
      </c>
      <c r="W7" s="13">
        <f t="shared" si="1"/>
        <v>560</v>
      </c>
      <c r="X7" s="13">
        <f t="shared" si="1"/>
        <v>600</v>
      </c>
      <c r="Y7" s="13">
        <f t="shared" si="2"/>
        <v>640</v>
      </c>
      <c r="Z7" s="13">
        <f t="shared" si="2"/>
        <v>680</v>
      </c>
      <c r="AA7" s="13">
        <f t="shared" si="2"/>
        <v>720</v>
      </c>
      <c r="AB7" s="13">
        <f t="shared" si="2"/>
        <v>760</v>
      </c>
      <c r="AC7" s="13">
        <f t="shared" si="2"/>
        <v>800</v>
      </c>
      <c r="AD7" s="13">
        <f t="shared" si="2"/>
        <v>840</v>
      </c>
      <c r="AE7" s="13">
        <f t="shared" si="2"/>
        <v>880</v>
      </c>
      <c r="AF7" s="13">
        <f t="shared" si="2"/>
        <v>920</v>
      </c>
      <c r="AG7" s="23">
        <f t="shared" si="2"/>
        <v>960</v>
      </c>
    </row>
    <row r="8" spans="2:33" x14ac:dyDescent="0.35">
      <c r="B8" s="65" t="s">
        <v>59</v>
      </c>
      <c r="C8" s="198">
        <f>C7/100</f>
        <v>0.7</v>
      </c>
      <c r="D8" s="65"/>
      <c r="G8" s="1"/>
      <c r="I8" s="14">
        <f>I7+1</f>
        <v>7</v>
      </c>
      <c r="J8" s="14" t="s">
        <v>78</v>
      </c>
      <c r="K8" s="14">
        <v>1</v>
      </c>
      <c r="L8" s="14">
        <v>51.724137931034484</v>
      </c>
      <c r="M8" s="24" t="str">
        <f t="shared" si="4"/>
        <v>Base 2-1</v>
      </c>
      <c r="N8" s="25">
        <f t="shared" si="0"/>
        <v>480</v>
      </c>
      <c r="O8" s="14">
        <f t="shared" si="1"/>
        <v>290</v>
      </c>
      <c r="P8" s="14">
        <f t="shared" si="1"/>
        <v>338.33333333333331</v>
      </c>
      <c r="Q8" s="14">
        <f t="shared" si="1"/>
        <v>386.66666666666669</v>
      </c>
      <c r="R8" s="14">
        <f t="shared" si="1"/>
        <v>435</v>
      </c>
      <c r="S8" s="14">
        <f t="shared" si="1"/>
        <v>483.33333333333331</v>
      </c>
      <c r="T8" s="14">
        <f t="shared" si="1"/>
        <v>531.66666666666663</v>
      </c>
      <c r="U8" s="14">
        <f t="shared" si="1"/>
        <v>580</v>
      </c>
      <c r="V8" s="14">
        <f t="shared" si="1"/>
        <v>628.33333333333337</v>
      </c>
      <c r="W8" s="14">
        <f t="shared" si="1"/>
        <v>676.66666666666663</v>
      </c>
      <c r="X8" s="14">
        <f t="shared" si="1"/>
        <v>725</v>
      </c>
      <c r="Y8" s="14">
        <f t="shared" si="2"/>
        <v>773.33333333333337</v>
      </c>
      <c r="Z8" s="14">
        <f t="shared" si="2"/>
        <v>821.66666666666663</v>
      </c>
      <c r="AA8" s="14">
        <f t="shared" si="2"/>
        <v>870</v>
      </c>
      <c r="AB8" s="14">
        <f t="shared" si="2"/>
        <v>918.33333333333326</v>
      </c>
      <c r="AC8" s="14">
        <f t="shared" si="2"/>
        <v>966.66666666666663</v>
      </c>
      <c r="AD8" s="14">
        <f t="shared" si="2"/>
        <v>1015</v>
      </c>
      <c r="AE8" s="14">
        <f t="shared" si="2"/>
        <v>1063.3333333333333</v>
      </c>
      <c r="AF8" s="14">
        <f t="shared" si="2"/>
        <v>1111.6666666666667</v>
      </c>
      <c r="AG8" s="25">
        <f t="shared" si="2"/>
        <v>1160</v>
      </c>
    </row>
    <row r="9" spans="2:33" x14ac:dyDescent="0.35">
      <c r="B9" s="66" t="s">
        <v>75</v>
      </c>
      <c r="C9" s="70">
        <v>25</v>
      </c>
      <c r="D9" s="66" t="s">
        <v>86</v>
      </c>
      <c r="G9" s="1"/>
      <c r="I9" s="14">
        <f t="shared" si="3"/>
        <v>8</v>
      </c>
      <c r="J9" s="14" t="s">
        <v>78</v>
      </c>
      <c r="K9" s="14">
        <v>2</v>
      </c>
      <c r="L9" s="14">
        <v>45.454545454545453</v>
      </c>
      <c r="M9" s="24" t="str">
        <f t="shared" si="4"/>
        <v>Base 2-2</v>
      </c>
      <c r="N9" s="25">
        <f t="shared" si="0"/>
        <v>550</v>
      </c>
      <c r="O9" s="14">
        <f t="shared" si="1"/>
        <v>330</v>
      </c>
      <c r="P9" s="14">
        <f t="shared" si="1"/>
        <v>385</v>
      </c>
      <c r="Q9" s="14">
        <f t="shared" si="1"/>
        <v>440</v>
      </c>
      <c r="R9" s="14">
        <f t="shared" si="1"/>
        <v>495</v>
      </c>
      <c r="S9" s="14">
        <f t="shared" si="1"/>
        <v>550</v>
      </c>
      <c r="T9" s="14">
        <f t="shared" si="1"/>
        <v>605</v>
      </c>
      <c r="U9" s="14">
        <f t="shared" si="1"/>
        <v>660</v>
      </c>
      <c r="V9" s="14">
        <f t="shared" si="1"/>
        <v>715</v>
      </c>
      <c r="W9" s="14">
        <f t="shared" si="1"/>
        <v>770</v>
      </c>
      <c r="X9" s="14">
        <f t="shared" si="1"/>
        <v>825</v>
      </c>
      <c r="Y9" s="14">
        <f t="shared" si="2"/>
        <v>880</v>
      </c>
      <c r="Z9" s="14">
        <f t="shared" si="2"/>
        <v>935</v>
      </c>
      <c r="AA9" s="14">
        <f t="shared" si="2"/>
        <v>990</v>
      </c>
      <c r="AB9" s="14">
        <f t="shared" si="2"/>
        <v>1045</v>
      </c>
      <c r="AC9" s="14">
        <f t="shared" si="2"/>
        <v>1100</v>
      </c>
      <c r="AD9" s="14">
        <f t="shared" si="2"/>
        <v>1155</v>
      </c>
      <c r="AE9" s="14">
        <f t="shared" si="2"/>
        <v>1210</v>
      </c>
      <c r="AF9" s="14">
        <f t="shared" si="2"/>
        <v>1265</v>
      </c>
      <c r="AG9" s="25">
        <f t="shared" si="2"/>
        <v>1320</v>
      </c>
    </row>
    <row r="10" spans="2:33" ht="15" thickBot="1" x14ac:dyDescent="0.4">
      <c r="B10" s="67" t="s">
        <v>94</v>
      </c>
      <c r="C10" s="197">
        <v>50</v>
      </c>
      <c r="D10" s="67" t="s">
        <v>87</v>
      </c>
      <c r="G10" s="1"/>
      <c r="I10" s="14">
        <f t="shared" si="3"/>
        <v>9</v>
      </c>
      <c r="J10" s="14" t="s">
        <v>78</v>
      </c>
      <c r="K10" s="14">
        <v>3</v>
      </c>
      <c r="L10" s="14">
        <v>40.54054054054054</v>
      </c>
      <c r="M10" s="24" t="str">
        <f t="shared" si="4"/>
        <v>Base 2-3</v>
      </c>
      <c r="N10" s="25">
        <f t="shared" si="0"/>
        <v>620</v>
      </c>
      <c r="O10" s="14">
        <f t="shared" si="1"/>
        <v>370</v>
      </c>
      <c r="P10" s="14">
        <f t="shared" si="1"/>
        <v>431.66666666666669</v>
      </c>
      <c r="Q10" s="14">
        <f t="shared" si="1"/>
        <v>493.33333333333331</v>
      </c>
      <c r="R10" s="14">
        <f t="shared" si="1"/>
        <v>555</v>
      </c>
      <c r="S10" s="14">
        <f t="shared" si="1"/>
        <v>616.66666666666663</v>
      </c>
      <c r="T10" s="14">
        <f t="shared" si="1"/>
        <v>678.33333333333337</v>
      </c>
      <c r="U10" s="14">
        <f t="shared" si="1"/>
        <v>740</v>
      </c>
      <c r="V10" s="14">
        <f t="shared" si="1"/>
        <v>801.66666666666663</v>
      </c>
      <c r="W10" s="14">
        <f t="shared" si="1"/>
        <v>863.33333333333337</v>
      </c>
      <c r="X10" s="14">
        <f t="shared" si="1"/>
        <v>925</v>
      </c>
      <c r="Y10" s="14">
        <f t="shared" si="2"/>
        <v>986.66666666666663</v>
      </c>
      <c r="Z10" s="14">
        <f t="shared" si="2"/>
        <v>1048.3333333333333</v>
      </c>
      <c r="AA10" s="14">
        <f t="shared" si="2"/>
        <v>1110</v>
      </c>
      <c r="AB10" s="14">
        <f t="shared" si="2"/>
        <v>1171.6666666666667</v>
      </c>
      <c r="AC10" s="14">
        <f t="shared" si="2"/>
        <v>1233.3333333333333</v>
      </c>
      <c r="AD10" s="14">
        <f t="shared" si="2"/>
        <v>1295</v>
      </c>
      <c r="AE10" s="14">
        <f t="shared" si="2"/>
        <v>1356.6666666666667</v>
      </c>
      <c r="AF10" s="14">
        <f t="shared" si="2"/>
        <v>1418.3333333333333</v>
      </c>
      <c r="AG10" s="25">
        <f t="shared" si="2"/>
        <v>1480</v>
      </c>
    </row>
    <row r="11" spans="2:33" ht="14.5" customHeight="1" thickBot="1" x14ac:dyDescent="0.4">
      <c r="G11" s="1"/>
      <c r="I11" s="14">
        <f t="shared" si="3"/>
        <v>10</v>
      </c>
      <c r="J11" s="14" t="s">
        <v>78</v>
      </c>
      <c r="K11" s="14">
        <v>4</v>
      </c>
      <c r="L11" s="14">
        <v>62.5</v>
      </c>
      <c r="M11" s="24" t="str">
        <f t="shared" si="4"/>
        <v>Base 2-4</v>
      </c>
      <c r="N11" s="25">
        <f t="shared" si="0"/>
        <v>400</v>
      </c>
      <c r="O11" s="14">
        <f t="shared" si="1"/>
        <v>240</v>
      </c>
      <c r="P11" s="14">
        <f t="shared" si="1"/>
        <v>280</v>
      </c>
      <c r="Q11" s="14">
        <f t="shared" si="1"/>
        <v>320</v>
      </c>
      <c r="R11" s="14">
        <f t="shared" si="1"/>
        <v>360</v>
      </c>
      <c r="S11" s="14">
        <f t="shared" si="1"/>
        <v>400</v>
      </c>
      <c r="T11" s="14">
        <f t="shared" si="1"/>
        <v>440</v>
      </c>
      <c r="U11" s="14">
        <f t="shared" si="1"/>
        <v>480</v>
      </c>
      <c r="V11" s="14">
        <f t="shared" si="1"/>
        <v>520</v>
      </c>
      <c r="W11" s="14">
        <f t="shared" si="1"/>
        <v>560</v>
      </c>
      <c r="X11" s="14">
        <f t="shared" si="1"/>
        <v>600</v>
      </c>
      <c r="Y11" s="14">
        <f t="shared" si="2"/>
        <v>640</v>
      </c>
      <c r="Z11" s="14">
        <f t="shared" si="2"/>
        <v>680</v>
      </c>
      <c r="AA11" s="14">
        <f t="shared" si="2"/>
        <v>720</v>
      </c>
      <c r="AB11" s="14">
        <f t="shared" si="2"/>
        <v>760</v>
      </c>
      <c r="AC11" s="14">
        <f t="shared" si="2"/>
        <v>800</v>
      </c>
      <c r="AD11" s="14">
        <f t="shared" si="2"/>
        <v>840</v>
      </c>
      <c r="AE11" s="14">
        <f t="shared" si="2"/>
        <v>880</v>
      </c>
      <c r="AF11" s="14">
        <f t="shared" si="2"/>
        <v>920</v>
      </c>
      <c r="AG11" s="25">
        <f t="shared" si="2"/>
        <v>960</v>
      </c>
    </row>
    <row r="12" spans="2:33" ht="14.5" customHeight="1" x14ac:dyDescent="0.35">
      <c r="D12" s="223" t="s">
        <v>60</v>
      </c>
      <c r="G12" s="1"/>
      <c r="I12" s="13">
        <f t="shared" si="3"/>
        <v>11</v>
      </c>
      <c r="J12" s="13" t="s">
        <v>81</v>
      </c>
      <c r="K12" s="13">
        <v>1</v>
      </c>
      <c r="L12" s="13">
        <v>45.454545454545453</v>
      </c>
      <c r="M12" s="22" t="str">
        <f t="shared" si="4"/>
        <v>Base 3-1</v>
      </c>
      <c r="N12" s="23">
        <f t="shared" si="0"/>
        <v>550</v>
      </c>
      <c r="O12" s="13">
        <f t="shared" si="1"/>
        <v>330</v>
      </c>
      <c r="P12" s="13">
        <f t="shared" si="1"/>
        <v>385</v>
      </c>
      <c r="Q12" s="13">
        <f t="shared" si="1"/>
        <v>440</v>
      </c>
      <c r="R12" s="13">
        <f t="shared" si="1"/>
        <v>495</v>
      </c>
      <c r="S12" s="13">
        <f t="shared" si="1"/>
        <v>550</v>
      </c>
      <c r="T12" s="13">
        <f t="shared" si="1"/>
        <v>605</v>
      </c>
      <c r="U12" s="13">
        <f t="shared" si="1"/>
        <v>660</v>
      </c>
      <c r="V12" s="13">
        <f t="shared" si="1"/>
        <v>715</v>
      </c>
      <c r="W12" s="13">
        <f t="shared" si="1"/>
        <v>770</v>
      </c>
      <c r="X12" s="13">
        <f t="shared" si="1"/>
        <v>825</v>
      </c>
      <c r="Y12" s="13">
        <f t="shared" si="2"/>
        <v>880</v>
      </c>
      <c r="Z12" s="13">
        <f t="shared" si="2"/>
        <v>935</v>
      </c>
      <c r="AA12" s="13">
        <f t="shared" si="2"/>
        <v>990</v>
      </c>
      <c r="AB12" s="13">
        <f t="shared" si="2"/>
        <v>1045</v>
      </c>
      <c r="AC12" s="13">
        <f t="shared" si="2"/>
        <v>1100</v>
      </c>
      <c r="AD12" s="13">
        <f t="shared" si="2"/>
        <v>1155</v>
      </c>
      <c r="AE12" s="13">
        <f t="shared" si="2"/>
        <v>1210</v>
      </c>
      <c r="AF12" s="13">
        <f t="shared" si="2"/>
        <v>1265</v>
      </c>
      <c r="AG12" s="23">
        <f t="shared" si="2"/>
        <v>1320</v>
      </c>
    </row>
    <row r="13" spans="2:33" ht="14.5" customHeight="1" x14ac:dyDescent="0.35">
      <c r="D13" s="224"/>
      <c r="G13" s="1"/>
      <c r="I13" s="13">
        <f t="shared" si="3"/>
        <v>12</v>
      </c>
      <c r="J13" s="13" t="s">
        <v>81</v>
      </c>
      <c r="K13" s="13">
        <v>2</v>
      </c>
      <c r="L13" s="13">
        <v>40.54054054054054</v>
      </c>
      <c r="M13" s="22" t="str">
        <f t="shared" si="4"/>
        <v>Base 3-2</v>
      </c>
      <c r="N13" s="23">
        <f t="shared" si="0"/>
        <v>620</v>
      </c>
      <c r="O13" s="13">
        <f t="shared" ref="O13:X22" si="5">O$2/$L13</f>
        <v>370</v>
      </c>
      <c r="P13" s="13">
        <f t="shared" si="5"/>
        <v>431.66666666666669</v>
      </c>
      <c r="Q13" s="13">
        <f t="shared" si="5"/>
        <v>493.33333333333331</v>
      </c>
      <c r="R13" s="13">
        <f t="shared" si="5"/>
        <v>555</v>
      </c>
      <c r="S13" s="13">
        <f t="shared" si="5"/>
        <v>616.66666666666663</v>
      </c>
      <c r="T13" s="13">
        <f t="shared" si="5"/>
        <v>678.33333333333337</v>
      </c>
      <c r="U13" s="13">
        <f t="shared" si="5"/>
        <v>740</v>
      </c>
      <c r="V13" s="13">
        <f t="shared" si="5"/>
        <v>801.66666666666663</v>
      </c>
      <c r="W13" s="13">
        <f t="shared" si="5"/>
        <v>863.33333333333337</v>
      </c>
      <c r="X13" s="13">
        <f t="shared" si="5"/>
        <v>925</v>
      </c>
      <c r="Y13" s="13">
        <f t="shared" ref="Y13:AG22" si="6">Y$2/$L13</f>
        <v>986.66666666666663</v>
      </c>
      <c r="Z13" s="13">
        <f t="shared" si="6"/>
        <v>1048.3333333333333</v>
      </c>
      <c r="AA13" s="13">
        <f t="shared" si="6"/>
        <v>1110</v>
      </c>
      <c r="AB13" s="13">
        <f t="shared" si="6"/>
        <v>1171.6666666666667</v>
      </c>
      <c r="AC13" s="13">
        <f t="shared" si="6"/>
        <v>1233.3333333333333</v>
      </c>
      <c r="AD13" s="13">
        <f t="shared" si="6"/>
        <v>1295</v>
      </c>
      <c r="AE13" s="13">
        <f t="shared" si="6"/>
        <v>1356.6666666666667</v>
      </c>
      <c r="AF13" s="13">
        <f t="shared" si="6"/>
        <v>1418.3333333333333</v>
      </c>
      <c r="AG13" s="23">
        <f t="shared" si="6"/>
        <v>1480</v>
      </c>
    </row>
    <row r="14" spans="2:33" ht="14.5" customHeight="1" x14ac:dyDescent="0.35">
      <c r="D14" s="224"/>
      <c r="G14" s="1"/>
      <c r="I14" s="13">
        <f t="shared" si="3"/>
        <v>13</v>
      </c>
      <c r="J14" s="13" t="s">
        <v>81</v>
      </c>
      <c r="K14" s="13">
        <v>3</v>
      </c>
      <c r="L14" s="13">
        <v>36.585365853658537</v>
      </c>
      <c r="M14" s="22" t="str">
        <f t="shared" si="4"/>
        <v>Base 3-3</v>
      </c>
      <c r="N14" s="23">
        <f t="shared" si="0"/>
        <v>680</v>
      </c>
      <c r="O14" s="13">
        <f t="shared" si="5"/>
        <v>410</v>
      </c>
      <c r="P14" s="13">
        <f t="shared" si="5"/>
        <v>478.33333333333331</v>
      </c>
      <c r="Q14" s="13">
        <f t="shared" si="5"/>
        <v>546.66666666666663</v>
      </c>
      <c r="R14" s="13">
        <f t="shared" si="5"/>
        <v>615</v>
      </c>
      <c r="S14" s="13">
        <f t="shared" si="5"/>
        <v>683.33333333333337</v>
      </c>
      <c r="T14" s="13">
        <f t="shared" si="5"/>
        <v>751.66666666666663</v>
      </c>
      <c r="U14" s="13">
        <f t="shared" si="5"/>
        <v>820</v>
      </c>
      <c r="V14" s="13">
        <f t="shared" si="5"/>
        <v>888.33333333333337</v>
      </c>
      <c r="W14" s="13">
        <f t="shared" si="5"/>
        <v>956.66666666666663</v>
      </c>
      <c r="X14" s="13">
        <f t="shared" si="5"/>
        <v>1025</v>
      </c>
      <c r="Y14" s="13">
        <f t="shared" si="6"/>
        <v>1093.3333333333333</v>
      </c>
      <c r="Z14" s="13">
        <f t="shared" si="6"/>
        <v>1161.6666666666667</v>
      </c>
      <c r="AA14" s="13">
        <f t="shared" si="6"/>
        <v>1230</v>
      </c>
      <c r="AB14" s="13">
        <f t="shared" si="6"/>
        <v>1298.3333333333333</v>
      </c>
      <c r="AC14" s="13">
        <f t="shared" si="6"/>
        <v>1366.6666666666667</v>
      </c>
      <c r="AD14" s="13">
        <f t="shared" si="6"/>
        <v>1435</v>
      </c>
      <c r="AE14" s="13">
        <f t="shared" si="6"/>
        <v>1503.3333333333333</v>
      </c>
      <c r="AF14" s="13">
        <f t="shared" si="6"/>
        <v>1571.6666666666667</v>
      </c>
      <c r="AG14" s="23">
        <f t="shared" si="6"/>
        <v>1640</v>
      </c>
    </row>
    <row r="15" spans="2:33" ht="14.5" customHeight="1" x14ac:dyDescent="0.35">
      <c r="D15" s="224"/>
      <c r="E15" s="18"/>
      <c r="F15" s="18"/>
      <c r="G15" s="1"/>
      <c r="H15" s="18"/>
      <c r="I15" s="13">
        <f t="shared" si="3"/>
        <v>14</v>
      </c>
      <c r="J15" s="13" t="s">
        <v>81</v>
      </c>
      <c r="K15" s="13">
        <v>4</v>
      </c>
      <c r="L15" s="13">
        <v>62.5</v>
      </c>
      <c r="M15" s="22" t="str">
        <f t="shared" si="4"/>
        <v>Base 3-4</v>
      </c>
      <c r="N15" s="23">
        <f t="shared" si="0"/>
        <v>400</v>
      </c>
      <c r="O15" s="13">
        <f t="shared" si="5"/>
        <v>240</v>
      </c>
      <c r="P15" s="13">
        <f t="shared" si="5"/>
        <v>280</v>
      </c>
      <c r="Q15" s="13">
        <f t="shared" si="5"/>
        <v>320</v>
      </c>
      <c r="R15" s="13">
        <f t="shared" si="5"/>
        <v>360</v>
      </c>
      <c r="S15" s="13">
        <f t="shared" si="5"/>
        <v>400</v>
      </c>
      <c r="T15" s="13">
        <f t="shared" si="5"/>
        <v>440</v>
      </c>
      <c r="U15" s="13">
        <f t="shared" si="5"/>
        <v>480</v>
      </c>
      <c r="V15" s="13">
        <f t="shared" si="5"/>
        <v>520</v>
      </c>
      <c r="W15" s="13">
        <f t="shared" si="5"/>
        <v>560</v>
      </c>
      <c r="X15" s="13">
        <f t="shared" si="5"/>
        <v>600</v>
      </c>
      <c r="Y15" s="13">
        <f t="shared" si="6"/>
        <v>640</v>
      </c>
      <c r="Z15" s="13">
        <f t="shared" si="6"/>
        <v>680</v>
      </c>
      <c r="AA15" s="13">
        <f t="shared" si="6"/>
        <v>720</v>
      </c>
      <c r="AB15" s="13">
        <f t="shared" si="6"/>
        <v>760</v>
      </c>
      <c r="AC15" s="13">
        <f t="shared" si="6"/>
        <v>800</v>
      </c>
      <c r="AD15" s="13">
        <f t="shared" si="6"/>
        <v>840</v>
      </c>
      <c r="AE15" s="13">
        <f t="shared" si="6"/>
        <v>880</v>
      </c>
      <c r="AF15" s="13">
        <f t="shared" si="6"/>
        <v>920</v>
      </c>
      <c r="AG15" s="23">
        <f t="shared" si="6"/>
        <v>960</v>
      </c>
    </row>
    <row r="16" spans="2:33" ht="14.5" customHeight="1" x14ac:dyDescent="0.35">
      <c r="D16" s="224"/>
      <c r="E16" s="18"/>
      <c r="F16" s="18"/>
      <c r="G16" s="1"/>
      <c r="H16" s="18"/>
      <c r="I16" s="14">
        <f t="shared" si="3"/>
        <v>15</v>
      </c>
      <c r="J16" s="14" t="s">
        <v>79</v>
      </c>
      <c r="K16" s="14">
        <v>1</v>
      </c>
      <c r="L16" s="14">
        <v>40.54054054054054</v>
      </c>
      <c r="M16" s="24" t="str">
        <f t="shared" si="4"/>
        <v>Build 1-1</v>
      </c>
      <c r="N16" s="25">
        <f t="shared" si="0"/>
        <v>620</v>
      </c>
      <c r="O16" s="14">
        <f t="shared" si="5"/>
        <v>370</v>
      </c>
      <c r="P16" s="14">
        <f t="shared" si="5"/>
        <v>431.66666666666669</v>
      </c>
      <c r="Q16" s="14">
        <f t="shared" si="5"/>
        <v>493.33333333333331</v>
      </c>
      <c r="R16" s="14">
        <f t="shared" si="5"/>
        <v>555</v>
      </c>
      <c r="S16" s="14">
        <f t="shared" si="5"/>
        <v>616.66666666666663</v>
      </c>
      <c r="T16" s="14">
        <f t="shared" si="5"/>
        <v>678.33333333333337</v>
      </c>
      <c r="U16" s="14">
        <f t="shared" si="5"/>
        <v>740</v>
      </c>
      <c r="V16" s="14">
        <f t="shared" si="5"/>
        <v>801.66666666666663</v>
      </c>
      <c r="W16" s="14">
        <f t="shared" si="5"/>
        <v>863.33333333333337</v>
      </c>
      <c r="X16" s="14">
        <f t="shared" si="5"/>
        <v>925</v>
      </c>
      <c r="Y16" s="14">
        <f t="shared" si="6"/>
        <v>986.66666666666663</v>
      </c>
      <c r="Z16" s="14">
        <f t="shared" si="6"/>
        <v>1048.3333333333333</v>
      </c>
      <c r="AA16" s="14">
        <f t="shared" si="6"/>
        <v>1110</v>
      </c>
      <c r="AB16" s="14">
        <f t="shared" si="6"/>
        <v>1171.6666666666667</v>
      </c>
      <c r="AC16" s="14">
        <f t="shared" si="6"/>
        <v>1233.3333333333333</v>
      </c>
      <c r="AD16" s="14">
        <f t="shared" si="6"/>
        <v>1295</v>
      </c>
      <c r="AE16" s="14">
        <f t="shared" si="6"/>
        <v>1356.6666666666667</v>
      </c>
      <c r="AF16" s="14">
        <f t="shared" si="6"/>
        <v>1418.3333333333333</v>
      </c>
      <c r="AG16" s="25">
        <f t="shared" si="6"/>
        <v>1480</v>
      </c>
    </row>
    <row r="17" spans="4:33" ht="14.5" customHeight="1" x14ac:dyDescent="0.35">
      <c r="D17" s="224"/>
      <c r="E17" s="18"/>
      <c r="F17" s="18"/>
      <c r="G17" s="1"/>
      <c r="H17" s="18"/>
      <c r="I17" s="14">
        <f t="shared" si="3"/>
        <v>16</v>
      </c>
      <c r="J17" s="14" t="s">
        <v>79</v>
      </c>
      <c r="K17" s="14">
        <v>2</v>
      </c>
      <c r="L17" s="14">
        <v>40.54054054054054</v>
      </c>
      <c r="M17" s="24" t="str">
        <f t="shared" si="4"/>
        <v>Build 1-2</v>
      </c>
      <c r="N17" s="25">
        <f t="shared" si="0"/>
        <v>620</v>
      </c>
      <c r="O17" s="14">
        <f t="shared" si="5"/>
        <v>370</v>
      </c>
      <c r="P17" s="14">
        <f t="shared" si="5"/>
        <v>431.66666666666669</v>
      </c>
      <c r="Q17" s="14">
        <f t="shared" si="5"/>
        <v>493.33333333333331</v>
      </c>
      <c r="R17" s="14">
        <f t="shared" si="5"/>
        <v>555</v>
      </c>
      <c r="S17" s="14">
        <f t="shared" si="5"/>
        <v>616.66666666666663</v>
      </c>
      <c r="T17" s="14">
        <f t="shared" si="5"/>
        <v>678.33333333333337</v>
      </c>
      <c r="U17" s="14">
        <f t="shared" si="5"/>
        <v>740</v>
      </c>
      <c r="V17" s="14">
        <f t="shared" si="5"/>
        <v>801.66666666666663</v>
      </c>
      <c r="W17" s="14">
        <f t="shared" si="5"/>
        <v>863.33333333333337</v>
      </c>
      <c r="X17" s="14">
        <f t="shared" si="5"/>
        <v>925</v>
      </c>
      <c r="Y17" s="14">
        <f t="shared" si="6"/>
        <v>986.66666666666663</v>
      </c>
      <c r="Z17" s="14">
        <f t="shared" si="6"/>
        <v>1048.3333333333333</v>
      </c>
      <c r="AA17" s="14">
        <f t="shared" si="6"/>
        <v>1110</v>
      </c>
      <c r="AB17" s="14">
        <f t="shared" si="6"/>
        <v>1171.6666666666667</v>
      </c>
      <c r="AC17" s="14">
        <f t="shared" si="6"/>
        <v>1233.3333333333333</v>
      </c>
      <c r="AD17" s="14">
        <f t="shared" si="6"/>
        <v>1295</v>
      </c>
      <c r="AE17" s="14">
        <f t="shared" si="6"/>
        <v>1356.6666666666667</v>
      </c>
      <c r="AF17" s="14">
        <f t="shared" si="6"/>
        <v>1418.3333333333333</v>
      </c>
      <c r="AG17" s="25">
        <f t="shared" si="6"/>
        <v>1480</v>
      </c>
    </row>
    <row r="18" spans="4:33" ht="14.5" customHeight="1" thickBot="1" x14ac:dyDescent="0.4">
      <c r="D18" s="225"/>
      <c r="E18" s="18"/>
      <c r="F18" s="18"/>
      <c r="G18" s="1"/>
      <c r="H18" s="18"/>
      <c r="I18" s="14">
        <f t="shared" si="3"/>
        <v>17</v>
      </c>
      <c r="J18" s="14" t="s">
        <v>79</v>
      </c>
      <c r="K18" s="14">
        <v>3</v>
      </c>
      <c r="L18" s="14">
        <v>40.54054054054054</v>
      </c>
      <c r="M18" s="24" t="str">
        <f t="shared" si="4"/>
        <v>Build 1-3</v>
      </c>
      <c r="N18" s="25">
        <f t="shared" si="0"/>
        <v>620</v>
      </c>
      <c r="O18" s="14">
        <f t="shared" si="5"/>
        <v>370</v>
      </c>
      <c r="P18" s="14">
        <f t="shared" si="5"/>
        <v>431.66666666666669</v>
      </c>
      <c r="Q18" s="14">
        <f t="shared" si="5"/>
        <v>493.33333333333331</v>
      </c>
      <c r="R18" s="14">
        <f t="shared" si="5"/>
        <v>555</v>
      </c>
      <c r="S18" s="14">
        <f t="shared" si="5"/>
        <v>616.66666666666663</v>
      </c>
      <c r="T18" s="14">
        <f t="shared" si="5"/>
        <v>678.33333333333337</v>
      </c>
      <c r="U18" s="14">
        <f t="shared" si="5"/>
        <v>740</v>
      </c>
      <c r="V18" s="14">
        <f t="shared" si="5"/>
        <v>801.66666666666663</v>
      </c>
      <c r="W18" s="14">
        <f t="shared" si="5"/>
        <v>863.33333333333337</v>
      </c>
      <c r="X18" s="14">
        <f t="shared" si="5"/>
        <v>925</v>
      </c>
      <c r="Y18" s="14">
        <f t="shared" si="6"/>
        <v>986.66666666666663</v>
      </c>
      <c r="Z18" s="14">
        <f t="shared" si="6"/>
        <v>1048.3333333333333</v>
      </c>
      <c r="AA18" s="14">
        <f t="shared" si="6"/>
        <v>1110</v>
      </c>
      <c r="AB18" s="14">
        <f t="shared" si="6"/>
        <v>1171.6666666666667</v>
      </c>
      <c r="AC18" s="14">
        <f t="shared" si="6"/>
        <v>1233.3333333333333</v>
      </c>
      <c r="AD18" s="14">
        <f t="shared" si="6"/>
        <v>1295</v>
      </c>
      <c r="AE18" s="14">
        <f t="shared" si="6"/>
        <v>1356.6666666666667</v>
      </c>
      <c r="AF18" s="14">
        <f t="shared" si="6"/>
        <v>1418.3333333333333</v>
      </c>
      <c r="AG18" s="25">
        <f t="shared" si="6"/>
        <v>1480</v>
      </c>
    </row>
    <row r="19" spans="4:33" ht="14.5" customHeight="1" x14ac:dyDescent="0.35">
      <c r="E19" s="18"/>
      <c r="F19" s="18"/>
      <c r="G19" s="1"/>
      <c r="H19" s="18"/>
      <c r="I19" s="14">
        <f t="shared" si="3"/>
        <v>18</v>
      </c>
      <c r="J19" s="14" t="s">
        <v>79</v>
      </c>
      <c r="K19" s="14">
        <v>4</v>
      </c>
      <c r="L19" s="14">
        <v>62.5</v>
      </c>
      <c r="M19" s="24" t="str">
        <f t="shared" si="4"/>
        <v>Build 1-4</v>
      </c>
      <c r="N19" s="25">
        <f t="shared" si="0"/>
        <v>400</v>
      </c>
      <c r="O19" s="14">
        <f t="shared" si="5"/>
        <v>240</v>
      </c>
      <c r="P19" s="14">
        <f t="shared" si="5"/>
        <v>280</v>
      </c>
      <c r="Q19" s="14">
        <f t="shared" si="5"/>
        <v>320</v>
      </c>
      <c r="R19" s="14">
        <f t="shared" si="5"/>
        <v>360</v>
      </c>
      <c r="S19" s="14">
        <f t="shared" si="5"/>
        <v>400</v>
      </c>
      <c r="T19" s="14">
        <f t="shared" si="5"/>
        <v>440</v>
      </c>
      <c r="U19" s="14">
        <f t="shared" si="5"/>
        <v>480</v>
      </c>
      <c r="V19" s="14">
        <f t="shared" si="5"/>
        <v>520</v>
      </c>
      <c r="W19" s="14">
        <f t="shared" si="5"/>
        <v>560</v>
      </c>
      <c r="X19" s="14">
        <f t="shared" si="5"/>
        <v>600</v>
      </c>
      <c r="Y19" s="14">
        <f t="shared" si="6"/>
        <v>640</v>
      </c>
      <c r="Z19" s="14">
        <f t="shared" si="6"/>
        <v>680</v>
      </c>
      <c r="AA19" s="14">
        <f t="shared" si="6"/>
        <v>720</v>
      </c>
      <c r="AB19" s="14">
        <f t="shared" si="6"/>
        <v>760</v>
      </c>
      <c r="AC19" s="14">
        <f t="shared" si="6"/>
        <v>800</v>
      </c>
      <c r="AD19" s="14">
        <f t="shared" si="6"/>
        <v>840</v>
      </c>
      <c r="AE19" s="14">
        <f t="shared" si="6"/>
        <v>880</v>
      </c>
      <c r="AF19" s="14">
        <f t="shared" si="6"/>
        <v>920</v>
      </c>
      <c r="AG19" s="25">
        <f t="shared" si="6"/>
        <v>960</v>
      </c>
    </row>
    <row r="20" spans="4:33" ht="14.5" customHeight="1" x14ac:dyDescent="0.35">
      <c r="E20" s="18"/>
      <c r="F20" s="18"/>
      <c r="G20" s="1"/>
      <c r="H20" s="18"/>
      <c r="I20" s="13">
        <f t="shared" si="3"/>
        <v>19</v>
      </c>
      <c r="J20" s="13" t="s">
        <v>80</v>
      </c>
      <c r="K20" s="13">
        <v>1</v>
      </c>
      <c r="L20" s="13">
        <v>36.585365853658537</v>
      </c>
      <c r="M20" s="22" t="str">
        <f t="shared" si="4"/>
        <v>Build 2-1</v>
      </c>
      <c r="N20" s="23">
        <f t="shared" si="0"/>
        <v>680</v>
      </c>
      <c r="O20" s="13">
        <f t="shared" si="5"/>
        <v>410</v>
      </c>
      <c r="P20" s="13">
        <f t="shared" si="5"/>
        <v>478.33333333333331</v>
      </c>
      <c r="Q20" s="13">
        <f t="shared" si="5"/>
        <v>546.66666666666663</v>
      </c>
      <c r="R20" s="13">
        <f t="shared" si="5"/>
        <v>615</v>
      </c>
      <c r="S20" s="13">
        <f t="shared" si="5"/>
        <v>683.33333333333337</v>
      </c>
      <c r="T20" s="13">
        <f t="shared" si="5"/>
        <v>751.66666666666663</v>
      </c>
      <c r="U20" s="13">
        <f t="shared" si="5"/>
        <v>820</v>
      </c>
      <c r="V20" s="13">
        <f t="shared" si="5"/>
        <v>888.33333333333337</v>
      </c>
      <c r="W20" s="13">
        <f t="shared" si="5"/>
        <v>956.66666666666663</v>
      </c>
      <c r="X20" s="13">
        <f t="shared" si="5"/>
        <v>1025</v>
      </c>
      <c r="Y20" s="13">
        <f t="shared" si="6"/>
        <v>1093.3333333333333</v>
      </c>
      <c r="Z20" s="13">
        <f t="shared" si="6"/>
        <v>1161.6666666666667</v>
      </c>
      <c r="AA20" s="13">
        <f t="shared" si="6"/>
        <v>1230</v>
      </c>
      <c r="AB20" s="13">
        <f t="shared" si="6"/>
        <v>1298.3333333333333</v>
      </c>
      <c r="AC20" s="13">
        <f t="shared" si="6"/>
        <v>1366.6666666666667</v>
      </c>
      <c r="AD20" s="13">
        <f t="shared" si="6"/>
        <v>1435</v>
      </c>
      <c r="AE20" s="13">
        <f t="shared" si="6"/>
        <v>1503.3333333333333</v>
      </c>
      <c r="AF20" s="13">
        <f t="shared" si="6"/>
        <v>1571.6666666666667</v>
      </c>
      <c r="AG20" s="23">
        <f t="shared" si="6"/>
        <v>1640</v>
      </c>
    </row>
    <row r="21" spans="4:33" ht="15" customHeight="1" x14ac:dyDescent="0.35">
      <c r="E21" s="18"/>
      <c r="F21" s="18"/>
      <c r="G21" s="1"/>
      <c r="H21" s="18"/>
      <c r="I21" s="13">
        <f t="shared" si="3"/>
        <v>20</v>
      </c>
      <c r="J21" s="13" t="s">
        <v>80</v>
      </c>
      <c r="K21" s="13">
        <v>2</v>
      </c>
      <c r="L21" s="13">
        <v>36.585365853658537</v>
      </c>
      <c r="M21" s="22" t="str">
        <f t="shared" si="4"/>
        <v>Build 2-2</v>
      </c>
      <c r="N21" s="23">
        <f t="shared" si="0"/>
        <v>680</v>
      </c>
      <c r="O21" s="13">
        <f t="shared" si="5"/>
        <v>410</v>
      </c>
      <c r="P21" s="13">
        <f t="shared" si="5"/>
        <v>478.33333333333331</v>
      </c>
      <c r="Q21" s="13">
        <f t="shared" si="5"/>
        <v>546.66666666666663</v>
      </c>
      <c r="R21" s="13">
        <f t="shared" si="5"/>
        <v>615</v>
      </c>
      <c r="S21" s="13">
        <f t="shared" si="5"/>
        <v>683.33333333333337</v>
      </c>
      <c r="T21" s="13">
        <f t="shared" si="5"/>
        <v>751.66666666666663</v>
      </c>
      <c r="U21" s="13">
        <f t="shared" si="5"/>
        <v>820</v>
      </c>
      <c r="V21" s="13">
        <f t="shared" si="5"/>
        <v>888.33333333333337</v>
      </c>
      <c r="W21" s="13">
        <f t="shared" si="5"/>
        <v>956.66666666666663</v>
      </c>
      <c r="X21" s="13">
        <f t="shared" si="5"/>
        <v>1025</v>
      </c>
      <c r="Y21" s="13">
        <f t="shared" si="6"/>
        <v>1093.3333333333333</v>
      </c>
      <c r="Z21" s="13">
        <f t="shared" si="6"/>
        <v>1161.6666666666667</v>
      </c>
      <c r="AA21" s="13">
        <f t="shared" si="6"/>
        <v>1230</v>
      </c>
      <c r="AB21" s="13">
        <f t="shared" si="6"/>
        <v>1298.3333333333333</v>
      </c>
      <c r="AC21" s="13">
        <f t="shared" si="6"/>
        <v>1366.6666666666667</v>
      </c>
      <c r="AD21" s="13">
        <f t="shared" si="6"/>
        <v>1435</v>
      </c>
      <c r="AE21" s="13">
        <f t="shared" si="6"/>
        <v>1503.3333333333333</v>
      </c>
      <c r="AF21" s="13">
        <f t="shared" si="6"/>
        <v>1571.6666666666667</v>
      </c>
      <c r="AG21" s="23">
        <f t="shared" si="6"/>
        <v>1640</v>
      </c>
    </row>
    <row r="22" spans="4:33" ht="15" customHeight="1" x14ac:dyDescent="0.35">
      <c r="G22" s="1"/>
      <c r="I22" s="13">
        <f t="shared" si="3"/>
        <v>21</v>
      </c>
      <c r="J22" s="13" t="s">
        <v>80</v>
      </c>
      <c r="K22" s="13">
        <v>3</v>
      </c>
      <c r="L22" s="13">
        <v>36.585365853658537</v>
      </c>
      <c r="M22" s="22" t="str">
        <f t="shared" si="4"/>
        <v>Build 2-3</v>
      </c>
      <c r="N22" s="23">
        <f t="shared" si="0"/>
        <v>680</v>
      </c>
      <c r="O22" s="13">
        <f t="shared" si="5"/>
        <v>410</v>
      </c>
      <c r="P22" s="13">
        <f t="shared" si="5"/>
        <v>478.33333333333331</v>
      </c>
      <c r="Q22" s="13">
        <f t="shared" si="5"/>
        <v>546.66666666666663</v>
      </c>
      <c r="R22" s="13">
        <f t="shared" si="5"/>
        <v>615</v>
      </c>
      <c r="S22" s="13">
        <f t="shared" si="5"/>
        <v>683.33333333333337</v>
      </c>
      <c r="T22" s="13">
        <f t="shared" si="5"/>
        <v>751.66666666666663</v>
      </c>
      <c r="U22" s="13">
        <f t="shared" si="5"/>
        <v>820</v>
      </c>
      <c r="V22" s="13">
        <f t="shared" si="5"/>
        <v>888.33333333333337</v>
      </c>
      <c r="W22" s="13">
        <f t="shared" si="5"/>
        <v>956.66666666666663</v>
      </c>
      <c r="X22" s="13">
        <f t="shared" si="5"/>
        <v>1025</v>
      </c>
      <c r="Y22" s="13">
        <f t="shared" si="6"/>
        <v>1093.3333333333333</v>
      </c>
      <c r="Z22" s="13">
        <f t="shared" si="6"/>
        <v>1161.6666666666667</v>
      </c>
      <c r="AA22" s="13">
        <f t="shared" si="6"/>
        <v>1230</v>
      </c>
      <c r="AB22" s="13">
        <f t="shared" si="6"/>
        <v>1298.3333333333333</v>
      </c>
      <c r="AC22" s="13">
        <f t="shared" si="6"/>
        <v>1366.6666666666667</v>
      </c>
      <c r="AD22" s="13">
        <f t="shared" si="6"/>
        <v>1435</v>
      </c>
      <c r="AE22" s="13">
        <f t="shared" si="6"/>
        <v>1503.3333333333333</v>
      </c>
      <c r="AF22" s="13">
        <f t="shared" si="6"/>
        <v>1571.6666666666667</v>
      </c>
      <c r="AG22" s="23">
        <f t="shared" si="6"/>
        <v>1640</v>
      </c>
    </row>
    <row r="23" spans="4:33" x14ac:dyDescent="0.35">
      <c r="G23" s="1"/>
      <c r="I23" s="13">
        <f t="shared" si="3"/>
        <v>22</v>
      </c>
      <c r="J23" s="13" t="s">
        <v>80</v>
      </c>
      <c r="K23" s="13">
        <v>4</v>
      </c>
      <c r="L23" s="13">
        <v>62.5</v>
      </c>
      <c r="M23" s="22" t="str">
        <f>J23&amp;"-"&amp;K23</f>
        <v>Build 2-4</v>
      </c>
      <c r="N23" s="23">
        <f t="shared" si="0"/>
        <v>400</v>
      </c>
      <c r="O23" s="13">
        <f t="shared" ref="O23:X27" si="7">O$2/$L23</f>
        <v>240</v>
      </c>
      <c r="P23" s="13">
        <f t="shared" si="7"/>
        <v>280</v>
      </c>
      <c r="Q23" s="13">
        <f t="shared" si="7"/>
        <v>320</v>
      </c>
      <c r="R23" s="13">
        <f t="shared" si="7"/>
        <v>360</v>
      </c>
      <c r="S23" s="13">
        <f t="shared" si="7"/>
        <v>400</v>
      </c>
      <c r="T23" s="13">
        <f t="shared" si="7"/>
        <v>440</v>
      </c>
      <c r="U23" s="13">
        <f t="shared" si="7"/>
        <v>480</v>
      </c>
      <c r="V23" s="13">
        <f t="shared" si="7"/>
        <v>520</v>
      </c>
      <c r="W23" s="13">
        <f t="shared" si="7"/>
        <v>560</v>
      </c>
      <c r="X23" s="13">
        <f t="shared" si="7"/>
        <v>600</v>
      </c>
      <c r="Y23" s="13">
        <f t="shared" ref="Y23:AG27" si="8">Y$2/$L23</f>
        <v>640</v>
      </c>
      <c r="Z23" s="13">
        <f t="shared" si="8"/>
        <v>680</v>
      </c>
      <c r="AA23" s="13">
        <f t="shared" si="8"/>
        <v>720</v>
      </c>
      <c r="AB23" s="13">
        <f t="shared" si="8"/>
        <v>760</v>
      </c>
      <c r="AC23" s="13">
        <f t="shared" si="8"/>
        <v>800</v>
      </c>
      <c r="AD23" s="13">
        <f t="shared" si="8"/>
        <v>840</v>
      </c>
      <c r="AE23" s="13">
        <f t="shared" si="8"/>
        <v>880</v>
      </c>
      <c r="AF23" s="13">
        <f t="shared" si="8"/>
        <v>920</v>
      </c>
      <c r="AG23" s="23">
        <f t="shared" si="8"/>
        <v>960</v>
      </c>
    </row>
    <row r="24" spans="4:33" x14ac:dyDescent="0.35">
      <c r="G24" s="1"/>
      <c r="I24" s="15">
        <f t="shared" si="3"/>
        <v>23</v>
      </c>
      <c r="J24" s="15" t="s">
        <v>5</v>
      </c>
      <c r="K24" s="15">
        <v>1</v>
      </c>
      <c r="L24" s="15">
        <v>51.724137931034484</v>
      </c>
      <c r="M24" s="26" t="s">
        <v>111</v>
      </c>
      <c r="N24" s="27">
        <f t="shared" si="0"/>
        <v>480</v>
      </c>
      <c r="O24" s="15">
        <f t="shared" si="7"/>
        <v>290</v>
      </c>
      <c r="P24" s="15">
        <f t="shared" si="7"/>
        <v>338.33333333333331</v>
      </c>
      <c r="Q24" s="15">
        <f t="shared" si="7"/>
        <v>386.66666666666669</v>
      </c>
      <c r="R24" s="15">
        <f t="shared" si="7"/>
        <v>435</v>
      </c>
      <c r="S24" s="15">
        <f t="shared" si="7"/>
        <v>483.33333333333331</v>
      </c>
      <c r="T24" s="15">
        <f t="shared" si="7"/>
        <v>531.66666666666663</v>
      </c>
      <c r="U24" s="15">
        <f t="shared" si="7"/>
        <v>580</v>
      </c>
      <c r="V24" s="15">
        <f t="shared" si="7"/>
        <v>628.33333333333337</v>
      </c>
      <c r="W24" s="15">
        <f t="shared" si="7"/>
        <v>676.66666666666663</v>
      </c>
      <c r="X24" s="15">
        <f t="shared" si="7"/>
        <v>725</v>
      </c>
      <c r="Y24" s="15">
        <f t="shared" si="8"/>
        <v>773.33333333333337</v>
      </c>
      <c r="Z24" s="15">
        <f t="shared" si="8"/>
        <v>821.66666666666663</v>
      </c>
      <c r="AA24" s="15">
        <f t="shared" si="8"/>
        <v>870</v>
      </c>
      <c r="AB24" s="15">
        <f t="shared" si="8"/>
        <v>918.33333333333326</v>
      </c>
      <c r="AC24" s="15">
        <f t="shared" si="8"/>
        <v>966.66666666666663</v>
      </c>
      <c r="AD24" s="15">
        <f t="shared" si="8"/>
        <v>1015</v>
      </c>
      <c r="AE24" s="15">
        <f t="shared" si="8"/>
        <v>1063.3333333333333</v>
      </c>
      <c r="AF24" s="15">
        <f t="shared" si="8"/>
        <v>1111.6666666666667</v>
      </c>
      <c r="AG24" s="27">
        <f t="shared" si="8"/>
        <v>1160</v>
      </c>
    </row>
    <row r="25" spans="4:33" x14ac:dyDescent="0.35">
      <c r="G25" s="1"/>
      <c r="I25" s="15">
        <f t="shared" si="3"/>
        <v>24</v>
      </c>
      <c r="J25" s="15" t="s">
        <v>5</v>
      </c>
      <c r="K25" s="15">
        <v>2</v>
      </c>
      <c r="L25" s="15">
        <v>62.5</v>
      </c>
      <c r="M25" s="26" t="s">
        <v>112</v>
      </c>
      <c r="N25" s="27">
        <f t="shared" si="0"/>
        <v>400</v>
      </c>
      <c r="O25" s="15">
        <f t="shared" si="7"/>
        <v>240</v>
      </c>
      <c r="P25" s="15">
        <f t="shared" si="7"/>
        <v>280</v>
      </c>
      <c r="Q25" s="15">
        <f t="shared" si="7"/>
        <v>320</v>
      </c>
      <c r="R25" s="15">
        <f t="shared" si="7"/>
        <v>360</v>
      </c>
      <c r="S25" s="15">
        <f t="shared" si="7"/>
        <v>400</v>
      </c>
      <c r="T25" s="15">
        <f t="shared" si="7"/>
        <v>440</v>
      </c>
      <c r="U25" s="15">
        <f t="shared" si="7"/>
        <v>480</v>
      </c>
      <c r="V25" s="15">
        <f t="shared" si="7"/>
        <v>520</v>
      </c>
      <c r="W25" s="15">
        <f t="shared" si="7"/>
        <v>560</v>
      </c>
      <c r="X25" s="15">
        <f t="shared" si="7"/>
        <v>600</v>
      </c>
      <c r="Y25" s="15">
        <f t="shared" si="8"/>
        <v>640</v>
      </c>
      <c r="Z25" s="15">
        <f t="shared" si="8"/>
        <v>680</v>
      </c>
      <c r="AA25" s="15">
        <f t="shared" si="8"/>
        <v>720</v>
      </c>
      <c r="AB25" s="15">
        <f t="shared" si="8"/>
        <v>760</v>
      </c>
      <c r="AC25" s="15">
        <f t="shared" si="8"/>
        <v>800</v>
      </c>
      <c r="AD25" s="15">
        <f t="shared" si="8"/>
        <v>840</v>
      </c>
      <c r="AE25" s="15">
        <f t="shared" si="8"/>
        <v>880</v>
      </c>
      <c r="AF25" s="15">
        <f t="shared" si="8"/>
        <v>920</v>
      </c>
      <c r="AG25" s="27">
        <f t="shared" si="8"/>
        <v>960</v>
      </c>
    </row>
    <row r="26" spans="4:33" x14ac:dyDescent="0.35">
      <c r="G26" s="1"/>
      <c r="I26" s="16">
        <f t="shared" si="3"/>
        <v>25</v>
      </c>
      <c r="J26" s="16" t="s">
        <v>1</v>
      </c>
      <c r="K26" s="16"/>
      <c r="L26" s="16">
        <v>62.5</v>
      </c>
      <c r="M26" s="20" t="s">
        <v>1</v>
      </c>
      <c r="N26" s="21">
        <f t="shared" si="0"/>
        <v>400</v>
      </c>
      <c r="O26" s="16">
        <f t="shared" si="7"/>
        <v>240</v>
      </c>
      <c r="P26" s="41">
        <f t="shared" si="7"/>
        <v>280</v>
      </c>
      <c r="Q26" s="41">
        <f t="shared" si="7"/>
        <v>320</v>
      </c>
      <c r="R26" s="41">
        <f t="shared" si="7"/>
        <v>360</v>
      </c>
      <c r="S26" s="41">
        <f t="shared" si="7"/>
        <v>400</v>
      </c>
      <c r="T26" s="41">
        <f t="shared" si="7"/>
        <v>440</v>
      </c>
      <c r="U26" s="41">
        <f t="shared" si="7"/>
        <v>480</v>
      </c>
      <c r="V26" s="41">
        <f t="shared" si="7"/>
        <v>520</v>
      </c>
      <c r="W26" s="41">
        <f t="shared" si="7"/>
        <v>560</v>
      </c>
      <c r="X26" s="41">
        <f t="shared" si="7"/>
        <v>600</v>
      </c>
      <c r="Y26" s="41">
        <f t="shared" si="8"/>
        <v>640</v>
      </c>
      <c r="Z26" s="41">
        <f t="shared" si="8"/>
        <v>680</v>
      </c>
      <c r="AA26" s="41">
        <f t="shared" si="8"/>
        <v>720</v>
      </c>
      <c r="AB26" s="41">
        <f t="shared" si="8"/>
        <v>760</v>
      </c>
      <c r="AC26" s="41">
        <f t="shared" si="8"/>
        <v>800</v>
      </c>
      <c r="AD26" s="41">
        <f t="shared" si="8"/>
        <v>840</v>
      </c>
      <c r="AE26" s="41">
        <f t="shared" si="8"/>
        <v>880</v>
      </c>
      <c r="AF26" s="41">
        <f t="shared" si="8"/>
        <v>920</v>
      </c>
      <c r="AG26" s="28">
        <f t="shared" si="8"/>
        <v>960</v>
      </c>
    </row>
    <row r="27" spans="4:33" ht="15" thickBot="1" x14ac:dyDescent="0.4">
      <c r="G27" s="1"/>
      <c r="I27" s="16">
        <f t="shared" si="3"/>
        <v>26</v>
      </c>
      <c r="J27" s="17" t="s">
        <v>83</v>
      </c>
      <c r="K27" s="17"/>
      <c r="L27" s="17">
        <v>100</v>
      </c>
      <c r="M27" s="42" t="s">
        <v>83</v>
      </c>
      <c r="N27" s="43">
        <f t="shared" si="0"/>
        <v>250</v>
      </c>
      <c r="O27" s="44">
        <f t="shared" si="7"/>
        <v>150</v>
      </c>
      <c r="P27" s="44">
        <f t="shared" si="7"/>
        <v>175</v>
      </c>
      <c r="Q27" s="44">
        <f t="shared" si="7"/>
        <v>200</v>
      </c>
      <c r="R27" s="44">
        <f t="shared" si="7"/>
        <v>225</v>
      </c>
      <c r="S27" s="44">
        <f t="shared" si="7"/>
        <v>250</v>
      </c>
      <c r="T27" s="44">
        <f t="shared" si="7"/>
        <v>275</v>
      </c>
      <c r="U27" s="44">
        <f t="shared" si="7"/>
        <v>300</v>
      </c>
      <c r="V27" s="44">
        <f t="shared" si="7"/>
        <v>325</v>
      </c>
      <c r="W27" s="44">
        <f t="shared" si="7"/>
        <v>350</v>
      </c>
      <c r="X27" s="44">
        <f t="shared" si="7"/>
        <v>375</v>
      </c>
      <c r="Y27" s="44">
        <f t="shared" si="8"/>
        <v>400</v>
      </c>
      <c r="Z27" s="44">
        <f t="shared" si="8"/>
        <v>425</v>
      </c>
      <c r="AA27" s="44">
        <f t="shared" si="8"/>
        <v>450</v>
      </c>
      <c r="AB27" s="44">
        <f t="shared" si="8"/>
        <v>475</v>
      </c>
      <c r="AC27" s="44">
        <f t="shared" si="8"/>
        <v>500</v>
      </c>
      <c r="AD27" s="44">
        <f t="shared" si="8"/>
        <v>525</v>
      </c>
      <c r="AE27" s="44">
        <f t="shared" si="8"/>
        <v>550</v>
      </c>
      <c r="AF27" s="44">
        <f t="shared" si="8"/>
        <v>575</v>
      </c>
      <c r="AG27" s="43">
        <f t="shared" si="8"/>
        <v>600</v>
      </c>
    </row>
    <row r="28" spans="4:33" x14ac:dyDescent="0.35">
      <c r="G28" s="1"/>
      <c r="I28" s="1"/>
      <c r="L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4:33" x14ac:dyDescent="0.35">
      <c r="G29" s="1"/>
      <c r="I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</sheetData>
  <sheetProtection sheet="1" objects="1" scenarios="1"/>
  <mergeCells count="3">
    <mergeCell ref="B2:D2"/>
    <mergeCell ref="O1:AG1"/>
    <mergeCell ref="D12:D18"/>
  </mergeCells>
  <phoneticPr fontId="4" type="noConversion"/>
  <dataValidations count="1">
    <dataValidation type="list" allowBlank="1" showInputMessage="1" showErrorMessage="1" sqref="C5" xr:uid="{6EF9E72D-90B6-49E5-AE31-810A17B0F8F2}">
      <formula1>$O$2:$AG$2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F0C99-EE1C-47D2-9E0E-806298CFB5F7}">
  <sheetPr codeName="Blad1">
    <tabColor rgb="FFFF0000"/>
  </sheetPr>
  <dimension ref="A1:BK120"/>
  <sheetViews>
    <sheetView tabSelected="1" zoomScaleNormal="100" workbookViewId="0">
      <pane xSplit="4" ySplit="4" topLeftCell="O19" activePane="bottomRight" state="frozen"/>
      <selection activeCell="A2" sqref="A2"/>
      <selection pane="topRight" activeCell="E2" sqref="E2"/>
      <selection pane="bottomLeft" activeCell="A5" sqref="A5"/>
      <selection pane="bottomRight" activeCell="BD7" sqref="BD7"/>
    </sheetView>
  </sheetViews>
  <sheetFormatPr defaultRowHeight="14.5" x14ac:dyDescent="0.35"/>
  <cols>
    <col min="1" max="1" width="3.36328125" bestFit="1" customWidth="1"/>
    <col min="2" max="2" width="5.6328125" bestFit="1" customWidth="1"/>
    <col min="3" max="3" width="6.54296875" bestFit="1" customWidth="1"/>
    <col min="4" max="4" width="10.1796875" hidden="1" customWidth="1"/>
    <col min="5" max="5" width="22.54296875" bestFit="1" customWidth="1"/>
    <col min="6" max="6" width="3.36328125" style="3" hidden="1" customWidth="1"/>
    <col min="7" max="7" width="10.08984375" style="3" bestFit="1" customWidth="1"/>
    <col min="8" max="8" width="10.08984375" style="3" hidden="1" customWidth="1"/>
    <col min="9" max="9" width="10.453125" style="3" bestFit="1" customWidth="1"/>
    <col min="10" max="10" width="5" style="3" bestFit="1" customWidth="1"/>
    <col min="11" max="11" width="8.08984375" style="3" bestFit="1" customWidth="1"/>
    <col min="12" max="13" width="2.81640625" hidden="1" customWidth="1"/>
    <col min="14" max="14" width="13.26953125" customWidth="1"/>
    <col min="15" max="15" width="5.1796875" customWidth="1"/>
    <col min="16" max="16" width="7.453125" bestFit="1" customWidth="1"/>
    <col min="17" max="17" width="5.1796875" customWidth="1"/>
    <col min="18" max="18" width="7.453125" bestFit="1" customWidth="1"/>
    <col min="19" max="19" width="1.1796875" customWidth="1"/>
    <col min="20" max="21" width="4.54296875" customWidth="1"/>
    <col min="22" max="22" width="1" customWidth="1"/>
    <col min="23" max="24" width="4.54296875" customWidth="1"/>
    <col min="25" max="25" width="1" customWidth="1"/>
    <col min="26" max="27" width="4.54296875" customWidth="1"/>
    <col min="28" max="28" width="1" customWidth="1"/>
    <col min="29" max="29" width="4.54296875" customWidth="1"/>
    <col min="30" max="30" width="3.81640625" bestFit="1" customWidth="1"/>
    <col min="31" max="31" width="1" customWidth="1"/>
    <col min="32" max="32" width="4.54296875" customWidth="1"/>
    <col min="33" max="33" width="4.453125" customWidth="1"/>
    <col min="34" max="34" width="1" customWidth="1"/>
    <col min="35" max="36" width="4.54296875" customWidth="1"/>
    <col min="37" max="37" width="1" customWidth="1"/>
    <col min="38" max="39" width="4.54296875" customWidth="1"/>
    <col min="40" max="40" width="1" customWidth="1"/>
    <col min="41" max="42" width="4.54296875" customWidth="1"/>
    <col min="43" max="43" width="1.1796875" customWidth="1"/>
    <col min="44" max="50" width="3.36328125" bestFit="1" customWidth="1"/>
    <col min="51" max="51" width="1.1796875" customWidth="1"/>
    <col min="52" max="52" width="11" bestFit="1" customWidth="1"/>
    <col min="53" max="53" width="1.453125" customWidth="1"/>
    <col min="54" max="54" width="6.26953125" bestFit="1" customWidth="1"/>
    <col min="55" max="55" width="7.26953125" bestFit="1" customWidth="1"/>
    <col min="56" max="61" width="6.26953125" bestFit="1" customWidth="1"/>
    <col min="62" max="62" width="1.6328125" customWidth="1"/>
  </cols>
  <sheetData>
    <row r="1" spans="1:63" ht="15" hidden="1" thickBot="1" x14ac:dyDescent="0.4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/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</row>
    <row r="2" spans="1:63" ht="15" thickBot="1" x14ac:dyDescent="0.4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2"/>
      <c r="T2" s="226" t="s">
        <v>66</v>
      </c>
      <c r="U2" s="227"/>
      <c r="V2" s="227"/>
      <c r="W2" s="227"/>
      <c r="X2" s="227"/>
      <c r="Y2" s="227"/>
      <c r="Z2" s="227"/>
      <c r="AA2" s="227"/>
      <c r="AB2" s="227"/>
      <c r="AC2" s="227"/>
      <c r="AD2" s="227"/>
      <c r="AE2" s="227"/>
      <c r="AF2" s="227"/>
      <c r="AG2" s="227"/>
      <c r="AH2" s="227"/>
      <c r="AI2" s="227"/>
      <c r="AJ2" s="227"/>
      <c r="AK2" s="227"/>
      <c r="AL2" s="227"/>
      <c r="AM2" s="227"/>
      <c r="AN2" s="227"/>
      <c r="AO2" s="227"/>
      <c r="AP2" s="228"/>
      <c r="AQ2" s="73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1"/>
      <c r="BJ2" s="74"/>
    </row>
    <row r="3" spans="1:63" ht="15" customHeight="1" thickBot="1" x14ac:dyDescent="0.4">
      <c r="A3" s="244" t="s">
        <v>89</v>
      </c>
      <c r="B3" s="244" t="s">
        <v>90</v>
      </c>
      <c r="C3" s="246" t="s">
        <v>91</v>
      </c>
      <c r="D3" s="244" t="s">
        <v>37</v>
      </c>
      <c r="E3" s="246" t="s">
        <v>1</v>
      </c>
      <c r="G3" s="193"/>
      <c r="I3" s="240" t="s">
        <v>76</v>
      </c>
      <c r="J3" s="242" t="s">
        <v>92</v>
      </c>
      <c r="K3" s="193"/>
      <c r="N3" s="195" t="s">
        <v>180</v>
      </c>
      <c r="O3" s="229" t="s">
        <v>65</v>
      </c>
      <c r="P3" s="230"/>
      <c r="Q3" s="230"/>
      <c r="R3" s="231"/>
      <c r="S3" s="71"/>
      <c r="T3" s="238" t="s">
        <v>15</v>
      </c>
      <c r="U3" s="239"/>
      <c r="V3" s="76"/>
      <c r="W3" s="238" t="s">
        <v>22</v>
      </c>
      <c r="X3" s="239"/>
      <c r="Y3" s="76"/>
      <c r="Z3" s="238" t="s">
        <v>16</v>
      </c>
      <c r="AA3" s="239"/>
      <c r="AB3" s="76"/>
      <c r="AC3" s="238" t="s">
        <v>17</v>
      </c>
      <c r="AD3" s="239"/>
      <c r="AE3" s="76"/>
      <c r="AF3" s="238" t="s">
        <v>20</v>
      </c>
      <c r="AG3" s="239"/>
      <c r="AH3" s="76"/>
      <c r="AI3" s="238" t="s">
        <v>19</v>
      </c>
      <c r="AJ3" s="239"/>
      <c r="AK3" s="76"/>
      <c r="AL3" s="238" t="s">
        <v>71</v>
      </c>
      <c r="AM3" s="239"/>
      <c r="AN3" s="76"/>
      <c r="AO3" s="238" t="s">
        <v>71</v>
      </c>
      <c r="AP3" s="239"/>
      <c r="AQ3" s="71"/>
      <c r="AR3" s="232" t="s">
        <v>67</v>
      </c>
      <c r="AS3" s="233"/>
      <c r="AT3" s="233"/>
      <c r="AU3" s="233"/>
      <c r="AV3" s="233"/>
      <c r="AW3" s="233"/>
      <c r="AX3" s="234"/>
      <c r="AY3" s="73"/>
      <c r="AZ3" s="77" t="s">
        <v>69</v>
      </c>
      <c r="BA3" s="71"/>
      <c r="BB3" s="235" t="s">
        <v>70</v>
      </c>
      <c r="BC3" s="236"/>
      <c r="BD3" s="236"/>
      <c r="BE3" s="236"/>
      <c r="BF3" s="236"/>
      <c r="BG3" s="236"/>
      <c r="BH3" s="236"/>
      <c r="BI3" s="237"/>
      <c r="BJ3" s="74"/>
    </row>
    <row r="4" spans="1:63" ht="265" thickBot="1" x14ac:dyDescent="0.4">
      <c r="A4" s="245"/>
      <c r="B4" s="245"/>
      <c r="C4" s="247"/>
      <c r="D4" s="245"/>
      <c r="E4" s="247"/>
      <c r="F4" s="78"/>
      <c r="G4" s="194"/>
      <c r="H4" s="78"/>
      <c r="I4" s="241"/>
      <c r="J4" s="243"/>
      <c r="K4" s="194"/>
      <c r="L4" s="78"/>
      <c r="M4" s="78"/>
      <c r="N4" s="92" t="s">
        <v>2</v>
      </c>
      <c r="O4" s="75" t="s">
        <v>97</v>
      </c>
      <c r="P4" s="79" t="s">
        <v>98</v>
      </c>
      <c r="Q4" s="80" t="s">
        <v>63</v>
      </c>
      <c r="R4" s="81" t="s">
        <v>64</v>
      </c>
      <c r="S4" s="82"/>
      <c r="T4" s="83" t="str">
        <f>T3&amp;"_load_target"</f>
        <v>Run_load_target</v>
      </c>
      <c r="U4" s="84" t="str">
        <f>"Actual "&amp;T3</f>
        <v>Actual Run</v>
      </c>
      <c r="V4" s="82"/>
      <c r="W4" s="83" t="str">
        <f>W3&amp;"_load_target"</f>
        <v>TrailRun_load_target</v>
      </c>
      <c r="X4" s="85" t="str">
        <f>"Actual "&amp;W3</f>
        <v>Actual TrailRun</v>
      </c>
      <c r="Y4" s="82"/>
      <c r="Z4" s="83" t="str">
        <f>Z3&amp;"_load_target"</f>
        <v>Ride_load_target</v>
      </c>
      <c r="AA4" s="85" t="str">
        <f>"Actual "&amp;Z3</f>
        <v>Actual Ride</v>
      </c>
      <c r="AB4" s="82"/>
      <c r="AC4" s="83" t="str">
        <f>AC3&amp;"_load_target"</f>
        <v>MountainBikeRide_load_target</v>
      </c>
      <c r="AD4" s="85" t="str">
        <f>"Actual "&amp;AC3</f>
        <v>Actual MountainBikeRide</v>
      </c>
      <c r="AE4" s="82"/>
      <c r="AF4" s="83" t="str">
        <f>AF3&amp;"_load_target"</f>
        <v>Swim_load_target</v>
      </c>
      <c r="AG4" s="85" t="str">
        <f>"Actual "&amp;AF3</f>
        <v>Actual Swim</v>
      </c>
      <c r="AH4" s="82"/>
      <c r="AI4" s="83" t="str">
        <f>AI3&amp;"_load_target"</f>
        <v>OpenWaterSwim_load_target</v>
      </c>
      <c r="AJ4" s="85" t="str">
        <f>"Actual "&amp;AI3</f>
        <v>Actual OpenWaterSwim</v>
      </c>
      <c r="AK4" s="82"/>
      <c r="AL4" s="83" t="str">
        <f>AL3&amp;"_load_target"</f>
        <v>None_load_target</v>
      </c>
      <c r="AM4" s="85" t="str">
        <f>"Actual "&amp;AL3</f>
        <v>Actual None</v>
      </c>
      <c r="AN4" s="82"/>
      <c r="AO4" s="83" t="str">
        <f>AO3&amp;"_load_target"</f>
        <v>None_load_target</v>
      </c>
      <c r="AP4" s="85" t="str">
        <f>"Actual "&amp;AO3</f>
        <v>Actual None</v>
      </c>
      <c r="AQ4" s="86"/>
      <c r="AR4" s="87" t="s">
        <v>6</v>
      </c>
      <c r="AS4" s="88" t="s">
        <v>7</v>
      </c>
      <c r="AT4" s="89" t="s">
        <v>24</v>
      </c>
      <c r="AU4" s="89" t="s">
        <v>8</v>
      </c>
      <c r="AV4" s="89" t="s">
        <v>9</v>
      </c>
      <c r="AW4" s="89" t="s">
        <v>23</v>
      </c>
      <c r="AX4" s="85" t="s">
        <v>11</v>
      </c>
      <c r="AY4" s="86"/>
      <c r="AZ4" s="90" t="s">
        <v>104</v>
      </c>
      <c r="BA4" s="91"/>
      <c r="BB4" s="92" t="s">
        <v>248</v>
      </c>
      <c r="BC4" s="93" t="s">
        <v>249</v>
      </c>
      <c r="BD4" s="93" t="s">
        <v>255</v>
      </c>
      <c r="BE4" s="93" t="s">
        <v>250</v>
      </c>
      <c r="BF4" s="93" t="s">
        <v>251</v>
      </c>
      <c r="BG4" s="93" t="s">
        <v>252</v>
      </c>
      <c r="BH4" s="93" t="s">
        <v>253</v>
      </c>
      <c r="BI4" s="94" t="s">
        <v>254</v>
      </c>
      <c r="BJ4" s="71"/>
      <c r="BK4" s="95" t="s">
        <v>95</v>
      </c>
    </row>
    <row r="5" spans="1:63" ht="15" thickBot="1" x14ac:dyDescent="0.4">
      <c r="A5" s="96">
        <v>1</v>
      </c>
      <c r="B5" s="97">
        <f>WEEKNUM(C5,2)</f>
        <v>2</v>
      </c>
      <c r="C5" s="98">
        <f>ATP_Conditions!C3</f>
        <v>46027</v>
      </c>
      <c r="D5" s="99" t="str">
        <f>WEEKNUM(C5,2)&amp;"-"&amp;YEAR(C5)</f>
        <v>2-2026</v>
      </c>
      <c r="E5" s="100" t="str">
        <f>_xlfn.IFNA(VLOOKUP(D5,'Race-calendar'!D:F,2,FALSE),"-")</f>
        <v>-</v>
      </c>
      <c r="F5" s="97" t="str">
        <f>_xlfn.IFNA(VLOOKUP($D5,'Race-calendar'!$D:$F,3,FALSE),"-")</f>
        <v>-</v>
      </c>
      <c r="G5" s="101" t="str">
        <f>_xlfn.IFNA(VLOOKUP(D5,'Race-calendar'!D:H,4,FALSE),"-")</f>
        <v>-</v>
      </c>
      <c r="H5" s="102"/>
      <c r="I5" s="152" t="s">
        <v>83</v>
      </c>
      <c r="J5" s="153"/>
      <c r="K5" s="152" t="str">
        <f>IF(OR(I5="Race",I5="Trans",I5="Prep"),I5,I5&amp;"-"&amp;J5)</f>
        <v>Trans</v>
      </c>
      <c r="L5" s="104"/>
      <c r="M5" s="99"/>
      <c r="N5" s="105">
        <f>VLOOKUP(K5,ATP_Conditions!M:N,2,FALSE)-ATP_Conditions!$C$6</f>
        <v>250</v>
      </c>
      <c r="O5" s="106">
        <f>SUM(T5,W5,Z5,AC5,AF5,AI5,AL5,AO5)+ATP_Conditions!$C$6</f>
        <v>300</v>
      </c>
      <c r="P5" s="103">
        <f ca="1">SUM(U5,X5,AA5,AD5,AG5,AJ5,AM5,AP5)</f>
        <v>343</v>
      </c>
      <c r="Q5" s="106">
        <f>O5-$N5</f>
        <v>50</v>
      </c>
      <c r="R5" s="107">
        <f ca="1">P5-$N5</f>
        <v>93</v>
      </c>
      <c r="S5" s="108">
        <f>MROUND(T5,5)</f>
        <v>0</v>
      </c>
      <c r="T5" s="160">
        <v>0</v>
      </c>
      <c r="U5" s="109" cm="1">
        <f t="array" aca="1" ref="U5" ca="1">IF(T$3="None",0,(INDIRECT("TABLE_WTL[@[" &amp; U$4 &amp; "]]")))</f>
        <v>35</v>
      </c>
      <c r="V5" s="108">
        <f>MROUND(W5,5)</f>
        <v>50</v>
      </c>
      <c r="W5" s="163">
        <v>50</v>
      </c>
      <c r="X5" s="109" cm="1">
        <f t="array" aca="1" ref="X5" ca="1">IF(W$3="None",0,(INDIRECT("TABLE_WTL[@[" &amp; X$4 &amp; "]]")))</f>
        <v>0</v>
      </c>
      <c r="Y5" s="108">
        <f>MROUND(Z5,5)</f>
        <v>100</v>
      </c>
      <c r="Z5" s="160">
        <v>100</v>
      </c>
      <c r="AA5" s="109" cm="1">
        <f t="array" aca="1" ref="AA5" ca="1">IF(Z$3="None",0,(INDIRECT("TABLE_WTL[@[" &amp; AA$4 &amp; "]]")))</f>
        <v>158</v>
      </c>
      <c r="AB5" s="108">
        <f>MROUND(AC5,5)</f>
        <v>150</v>
      </c>
      <c r="AC5" s="160">
        <v>150</v>
      </c>
      <c r="AD5" s="109" cm="1">
        <f t="array" aca="1" ref="AD5" ca="1">IF(AC$3="None",0,(INDIRECT("TABLE_WTL[@[" &amp; AD$4 &amp; "]]")))</f>
        <v>150</v>
      </c>
      <c r="AE5" s="108">
        <f>MROUND(AF5,5)</f>
        <v>0</v>
      </c>
      <c r="AF5" s="160">
        <v>0</v>
      </c>
      <c r="AG5" s="109" cm="1">
        <f t="array" aca="1" ref="AG5" ca="1">IF(AF$3="None",0,(INDIRECT("TABLE_WTL[@[" &amp; AG$4 &amp; "]]")))</f>
        <v>0</v>
      </c>
      <c r="AH5" s="108">
        <f>MROUND(AI5,5)</f>
        <v>0</v>
      </c>
      <c r="AI5" s="163">
        <v>0</v>
      </c>
      <c r="AJ5" s="109" cm="1">
        <f t="array" aca="1" ref="AJ5" ca="1">IF(AI$3="None",0,(INDIRECT("TABLE_WTL[@[" &amp; AJ$4 &amp; "]]")))</f>
        <v>0</v>
      </c>
      <c r="AK5" s="108">
        <f>MROUND(AL5,5)</f>
        <v>0</v>
      </c>
      <c r="AL5" s="163">
        <v>0</v>
      </c>
      <c r="AM5" s="109" cm="1">
        <f t="array" aca="1" ref="AM5" ca="1">IF(AL$3="None",0,(INDIRECT("TABLE_WTL[@[" &amp; AM$4 &amp; "]]")))</f>
        <v>0</v>
      </c>
      <c r="AN5" s="108">
        <f>MROUND(AO5,5)</f>
        <v>0</v>
      </c>
      <c r="AO5" s="163">
        <v>0</v>
      </c>
      <c r="AP5" s="109" cm="1">
        <f t="array" aca="1" ref="AP5" ca="1">IF(AO$3="None",0,(INDIRECT("TABLE_WTL[@[" &amp; AP$4 &amp; "]]")))</f>
        <v>0</v>
      </c>
      <c r="AQ5" s="110"/>
      <c r="AR5" s="165"/>
      <c r="AS5" s="166"/>
      <c r="AT5" s="166"/>
      <c r="AU5" s="166"/>
      <c r="AV5" s="166"/>
      <c r="AW5" s="166"/>
      <c r="AX5" s="167"/>
      <c r="AY5" s="110"/>
      <c r="AZ5" s="189"/>
      <c r="BA5" s="71"/>
      <c r="BB5" s="177">
        <v>20</v>
      </c>
      <c r="BC5" s="178">
        <v>1000</v>
      </c>
      <c r="BD5" s="178">
        <v>180</v>
      </c>
      <c r="BE5" s="178">
        <v>100</v>
      </c>
      <c r="BF5" s="178">
        <v>60</v>
      </c>
      <c r="BG5" s="178">
        <v>10</v>
      </c>
      <c r="BH5" s="178">
        <v>90</v>
      </c>
      <c r="BI5" s="179">
        <v>12</v>
      </c>
      <c r="BJ5" s="71"/>
      <c r="BK5" s="111">
        <f>N5/ATP_Conditions!$C$7</f>
        <v>3.5714285714285716</v>
      </c>
    </row>
    <row r="6" spans="1:63" ht="15" thickBot="1" x14ac:dyDescent="0.4">
      <c r="A6" s="31">
        <f t="shared" ref="A6:A37" si="0">A5+1</f>
        <v>2</v>
      </c>
      <c r="B6" s="112">
        <f t="shared" ref="B6:B56" si="1">WEEKNUM(C6,2)</f>
        <v>3</v>
      </c>
      <c r="C6" s="113">
        <f>(C5+7)+(1-(WEEKDAY((C5+7),2)))</f>
        <v>46034</v>
      </c>
      <c r="D6" s="114" t="str">
        <f t="shared" ref="D6:D56" si="2">WEEKNUM(C6,2)&amp;"-"&amp;YEAR(C6)</f>
        <v>3-2026</v>
      </c>
      <c r="E6" s="115" t="str">
        <f>_xlfn.IFNA(VLOOKUP(D6,'Race-calendar'!D:F,2,FALSE),"-")</f>
        <v>-</v>
      </c>
      <c r="F6" s="112" t="str">
        <f>_xlfn.IFNA(VLOOKUP($D6,'Race-calendar'!$D:$F,3,FALSE),"-")</f>
        <v>-</v>
      </c>
      <c r="G6" s="116" t="str">
        <f>_xlfn.IFNA(VLOOKUP(D6,'Race-calendar'!D:H,4,FALSE),"-")</f>
        <v>-</v>
      </c>
      <c r="H6" s="117"/>
      <c r="I6" s="154" t="s">
        <v>78</v>
      </c>
      <c r="J6" s="155" t="s">
        <v>107</v>
      </c>
      <c r="K6" s="156" t="str">
        <f>IF(OR(,I6="Race",I6="Trans",I6="Prep"),I6,I6&amp;"-"&amp;J6)</f>
        <v>Base 2-1</v>
      </c>
      <c r="L6" s="118"/>
      <c r="M6" s="114"/>
      <c r="N6" s="119">
        <f>VLOOKUP(K6,ATP_Conditions!M:N,2,FALSE)</f>
        <v>480</v>
      </c>
      <c r="O6" s="31">
        <f>SUM(T6,W6,Z6,AC6,AF6,AI6,AL6,AO6)+ATP_Conditions!$C$6</f>
        <v>480</v>
      </c>
      <c r="P6" s="32">
        <f t="shared" ref="P6:P36" ca="1" si="3">SUM(U6,X6,AA6,AD6,AG6,AJ6,AM6,AP6)</f>
        <v>500</v>
      </c>
      <c r="Q6" s="106">
        <f t="shared" ref="Q6:Q37" si="4">O6-N6</f>
        <v>0</v>
      </c>
      <c r="R6" s="107">
        <f t="shared" ref="R6:R56" ca="1" si="5">P6-$N6</f>
        <v>20</v>
      </c>
      <c r="S6" s="120">
        <f t="shared" ref="S6:S56" si="6">MROUND(T6,5)</f>
        <v>100</v>
      </c>
      <c r="T6" s="160">
        <v>100</v>
      </c>
      <c r="U6" s="109" cm="1">
        <f t="array" aca="1" ref="U6" ca="1">IF(T$3="None",0,(INDIRECT("TABLE_WTL[@[" &amp; U$4 &amp; "]]")))</f>
        <v>102</v>
      </c>
      <c r="V6" s="120">
        <f t="shared" ref="V6:V56" si="7">MROUND(W6,5)</f>
        <v>0</v>
      </c>
      <c r="W6" s="160">
        <v>0</v>
      </c>
      <c r="X6" s="109" cm="1">
        <f t="array" aca="1" ref="X6" ca="1">IF(W$3="None",0,(INDIRECT("TABLE_WTL[@[" &amp; X$4 &amp; "]]")))</f>
        <v>0</v>
      </c>
      <c r="Y6" s="120">
        <f t="shared" ref="Y6:Y56" si="8">MROUND(Z6,5)</f>
        <v>230</v>
      </c>
      <c r="Z6" s="160">
        <v>230</v>
      </c>
      <c r="AA6" s="109" cm="1">
        <f t="array" aca="1" ref="AA6" ca="1">IF(Z$3="None",0,(INDIRECT("TABLE_WTL[@[" &amp; AA$4 &amp; "]]")))</f>
        <v>248</v>
      </c>
      <c r="AB6" s="120">
        <f t="shared" ref="AB6:AB56" si="9">MROUND(AC6,5)</f>
        <v>150</v>
      </c>
      <c r="AC6" s="160">
        <v>150</v>
      </c>
      <c r="AD6" s="109" cm="1">
        <f t="array" aca="1" ref="AD6" ca="1">IF(AC$3="None",0,(INDIRECT("TABLE_WTL[@[" &amp; AD$4 &amp; "]]")))</f>
        <v>150</v>
      </c>
      <c r="AE6" s="120">
        <f t="shared" ref="AE6:AE56" si="10">MROUND(AF6,5)</f>
        <v>0</v>
      </c>
      <c r="AF6" s="160">
        <v>0</v>
      </c>
      <c r="AG6" s="109" cm="1">
        <f t="array" aca="1" ref="AG6" ca="1">IF(AF$3="None",0,(INDIRECT("TABLE_WTL[@[" &amp; AG$4 &amp; "]]")))</f>
        <v>0</v>
      </c>
      <c r="AH6" s="120">
        <f t="shared" ref="AH6:AH56" si="11">MROUND(AI6,5)</f>
        <v>0</v>
      </c>
      <c r="AI6" s="160">
        <v>0</v>
      </c>
      <c r="AJ6" s="109" cm="1">
        <f t="array" aca="1" ref="AJ6" ca="1">IF(AI$3="None",0,(INDIRECT("TABLE_WTL[@[" &amp; AJ$4 &amp; "]]")))</f>
        <v>0</v>
      </c>
      <c r="AK6" s="120">
        <f t="shared" ref="AK6:AK56" si="12">MROUND(AL6,5)</f>
        <v>0</v>
      </c>
      <c r="AL6" s="160">
        <v>0</v>
      </c>
      <c r="AM6" s="109" cm="1">
        <f t="array" aca="1" ref="AM6" ca="1">IF(AL$3="None",0,(INDIRECT("TABLE_WTL[@[" &amp; AM$4 &amp; "]]")))</f>
        <v>0</v>
      </c>
      <c r="AN6" s="120">
        <f t="shared" ref="AN6:AN56" si="13">MROUND(AO6,5)</f>
        <v>0</v>
      </c>
      <c r="AO6" s="160">
        <v>0</v>
      </c>
      <c r="AP6" s="109" cm="1">
        <f t="array" aca="1" ref="AP6" ca="1">IF(AO$3="None",0,(INDIRECT("TABLE_WTL[@[" &amp; AP$4 &amp; "]]")))</f>
        <v>0</v>
      </c>
      <c r="AQ6" s="121"/>
      <c r="AR6" s="164"/>
      <c r="AS6" s="168" t="s">
        <v>107</v>
      </c>
      <c r="AT6" s="168"/>
      <c r="AU6" s="168" t="s">
        <v>107</v>
      </c>
      <c r="AV6" s="168" t="s">
        <v>107</v>
      </c>
      <c r="AW6" s="168"/>
      <c r="AX6" s="169"/>
      <c r="AY6" s="121"/>
      <c r="AZ6" s="190" t="s">
        <v>106</v>
      </c>
      <c r="BA6" s="71"/>
      <c r="BB6" s="180"/>
      <c r="BC6" s="181"/>
      <c r="BD6" s="181"/>
      <c r="BE6" s="181"/>
      <c r="BF6" s="181"/>
      <c r="BG6" s="181"/>
      <c r="BH6" s="181"/>
      <c r="BI6" s="182"/>
      <c r="BJ6" s="71"/>
      <c r="BK6" s="111">
        <f>N6/ATP_Conditions!$C$7</f>
        <v>6.8571428571428568</v>
      </c>
    </row>
    <row r="7" spans="1:63" ht="15" thickBot="1" x14ac:dyDescent="0.4">
      <c r="A7" s="31">
        <f t="shared" si="0"/>
        <v>3</v>
      </c>
      <c r="B7" s="112">
        <f t="shared" si="1"/>
        <v>4</v>
      </c>
      <c r="C7" s="113">
        <f t="shared" ref="C7:C56" si="14">(C6+7)+(1-(WEEKDAY((C6+7),2)))</f>
        <v>46041</v>
      </c>
      <c r="D7" s="114" t="str">
        <f t="shared" si="2"/>
        <v>4-2026</v>
      </c>
      <c r="E7" s="115" t="str">
        <f>_xlfn.IFNA(VLOOKUP(D7,'Race-calendar'!D:F,2,FALSE),"-")</f>
        <v>-</v>
      </c>
      <c r="F7" s="112" t="str">
        <f>_xlfn.IFNA(VLOOKUP($D7,'Race-calendar'!$D:$F,3,FALSE),"-")</f>
        <v>-</v>
      </c>
      <c r="G7" s="116" t="str">
        <f>_xlfn.IFNA(VLOOKUP(D7,'Race-calendar'!D:H,4,FALSE),"-")</f>
        <v>-</v>
      </c>
      <c r="H7" s="117"/>
      <c r="I7" s="154" t="s">
        <v>78</v>
      </c>
      <c r="J7" s="157" t="s">
        <v>108</v>
      </c>
      <c r="K7" s="156" t="str">
        <f t="shared" ref="K7:K56" si="15">IF(OR(,I7="Race",I7="Trans",I7="Prep"),I7,I7&amp;"-"&amp;J7)</f>
        <v>Base 2-2</v>
      </c>
      <c r="L7" s="118"/>
      <c r="M7" s="114"/>
      <c r="N7" s="119">
        <f>VLOOKUP(K7,ATP_Conditions!M:N,2,FALSE)</f>
        <v>550</v>
      </c>
      <c r="O7" s="31">
        <f>SUM(T7,W7,Z7,AC7,AF7,AI7,AL7,AO7)+ATP_Conditions!$C$6</f>
        <v>550</v>
      </c>
      <c r="P7" s="32">
        <f t="shared" ca="1" si="3"/>
        <v>550</v>
      </c>
      <c r="Q7" s="106">
        <f t="shared" si="4"/>
        <v>0</v>
      </c>
      <c r="R7" s="107">
        <f t="shared" ca="1" si="5"/>
        <v>0</v>
      </c>
      <c r="S7" s="120">
        <f t="shared" si="6"/>
        <v>140</v>
      </c>
      <c r="T7" s="160">
        <v>140</v>
      </c>
      <c r="U7" s="109" cm="1">
        <f t="array" aca="1" ref="U7" ca="1">IF(T$3="None",0,(INDIRECT("TABLE_WTL[@[" &amp; U$4 &amp; "]]")))</f>
        <v>138</v>
      </c>
      <c r="V7" s="120">
        <f t="shared" si="7"/>
        <v>0</v>
      </c>
      <c r="W7" s="160">
        <v>0</v>
      </c>
      <c r="X7" s="109" cm="1">
        <f t="array" aca="1" ref="X7" ca="1">IF(W$3="None",0,(INDIRECT("TABLE_WTL[@[" &amp; X$4 &amp; "]]")))</f>
        <v>0</v>
      </c>
      <c r="Y7" s="120">
        <f t="shared" si="8"/>
        <v>260</v>
      </c>
      <c r="Z7" s="160">
        <v>260</v>
      </c>
      <c r="AA7" s="109" cm="1">
        <f t="array" aca="1" ref="AA7" ca="1">IF(Z$3="None",0,(INDIRECT("TABLE_WTL[@[" &amp; AA$4 &amp; "]]")))</f>
        <v>262</v>
      </c>
      <c r="AB7" s="120">
        <f t="shared" si="9"/>
        <v>150</v>
      </c>
      <c r="AC7" s="160">
        <v>150</v>
      </c>
      <c r="AD7" s="109" cm="1">
        <f t="array" aca="1" ref="AD7" ca="1">IF(AC$3="None",0,(INDIRECT("TABLE_WTL[@[" &amp; AD$4 &amp; "]]")))</f>
        <v>150</v>
      </c>
      <c r="AE7" s="120">
        <f t="shared" si="10"/>
        <v>0</v>
      </c>
      <c r="AF7" s="160">
        <v>0</v>
      </c>
      <c r="AG7" s="109" cm="1">
        <f t="array" aca="1" ref="AG7" ca="1">IF(AF$3="None",0,(INDIRECT("TABLE_WTL[@[" &amp; AG$4 &amp; "]]")))</f>
        <v>0</v>
      </c>
      <c r="AH7" s="120">
        <f t="shared" si="11"/>
        <v>0</v>
      </c>
      <c r="AI7" s="160">
        <v>0</v>
      </c>
      <c r="AJ7" s="109" cm="1">
        <f t="array" aca="1" ref="AJ7" ca="1">IF(AI$3="None",0,(INDIRECT("TABLE_WTL[@[" &amp; AJ$4 &amp; "]]")))</f>
        <v>0</v>
      </c>
      <c r="AK7" s="120">
        <f t="shared" si="12"/>
        <v>0</v>
      </c>
      <c r="AL7" s="160">
        <v>0</v>
      </c>
      <c r="AM7" s="109" cm="1">
        <f t="array" aca="1" ref="AM7" ca="1">IF(AL$3="None",0,(INDIRECT("TABLE_WTL[@[" &amp; AM$4 &amp; "]]")))</f>
        <v>0</v>
      </c>
      <c r="AN7" s="120">
        <f t="shared" si="13"/>
        <v>0</v>
      </c>
      <c r="AO7" s="160">
        <v>0</v>
      </c>
      <c r="AP7" s="109" cm="1">
        <f t="array" aca="1" ref="AP7" ca="1">IF(AO$3="None",0,(INDIRECT("TABLE_WTL[@[" &amp; AP$4 &amp; "]]")))</f>
        <v>0</v>
      </c>
      <c r="AQ7" s="121"/>
      <c r="AR7" s="164"/>
      <c r="AS7" s="168" t="s">
        <v>107</v>
      </c>
      <c r="AT7" s="168" t="s">
        <v>107</v>
      </c>
      <c r="AU7" s="168" t="s">
        <v>107</v>
      </c>
      <c r="AV7" s="168" t="s">
        <v>107</v>
      </c>
      <c r="AW7" s="168"/>
      <c r="AX7" s="169"/>
      <c r="AY7" s="121"/>
      <c r="AZ7" s="190" t="s">
        <v>26</v>
      </c>
      <c r="BA7" s="71"/>
      <c r="BB7" s="180"/>
      <c r="BC7" s="181"/>
      <c r="BD7" s="181"/>
      <c r="BE7" s="181"/>
      <c r="BF7" s="181"/>
      <c r="BG7" s="181"/>
      <c r="BH7" s="181"/>
      <c r="BI7" s="182"/>
      <c r="BJ7" s="71"/>
      <c r="BK7" s="111">
        <f>N7/ATP_Conditions!$C$7</f>
        <v>7.8571428571428568</v>
      </c>
    </row>
    <row r="8" spans="1:63" ht="15" thickBot="1" x14ac:dyDescent="0.4">
      <c r="A8" s="31">
        <f t="shared" si="0"/>
        <v>4</v>
      </c>
      <c r="B8" s="112">
        <f t="shared" si="1"/>
        <v>5</v>
      </c>
      <c r="C8" s="113">
        <f t="shared" si="14"/>
        <v>46048</v>
      </c>
      <c r="D8" s="114" t="str">
        <f t="shared" si="2"/>
        <v>5-2026</v>
      </c>
      <c r="E8" s="115" t="str">
        <f>_xlfn.IFNA(VLOOKUP(D8,'Race-calendar'!D:F,2,FALSE),"-")</f>
        <v>-</v>
      </c>
      <c r="F8" s="112" t="str">
        <f>_xlfn.IFNA(VLOOKUP($D8,'Race-calendar'!$D:$F,3,FALSE),"-")</f>
        <v>-</v>
      </c>
      <c r="G8" s="116" t="str">
        <f>_xlfn.IFNA(VLOOKUP(D8,'Race-calendar'!D:H,4,FALSE),"-")</f>
        <v>-</v>
      </c>
      <c r="H8" s="117"/>
      <c r="I8" s="154" t="s">
        <v>78</v>
      </c>
      <c r="J8" s="157" t="s">
        <v>110</v>
      </c>
      <c r="K8" s="156" t="str">
        <f t="shared" si="15"/>
        <v>Base 2-4</v>
      </c>
      <c r="L8" s="118"/>
      <c r="M8" s="114"/>
      <c r="N8" s="119">
        <f>VLOOKUP(K8,ATP_Conditions!M:N,2,FALSE)</f>
        <v>400</v>
      </c>
      <c r="O8" s="31">
        <f>SUM(T8,W8,Z8,AC8,AF8,AI8,AL8,AO8)+ATP_Conditions!$C$6</f>
        <v>400</v>
      </c>
      <c r="P8" s="32">
        <f t="shared" ca="1" si="3"/>
        <v>435</v>
      </c>
      <c r="Q8" s="106">
        <f t="shared" si="4"/>
        <v>0</v>
      </c>
      <c r="R8" s="107">
        <f t="shared" ca="1" si="5"/>
        <v>35</v>
      </c>
      <c r="S8" s="120">
        <f t="shared" si="6"/>
        <v>100</v>
      </c>
      <c r="T8" s="160">
        <v>100</v>
      </c>
      <c r="U8" s="109" cm="1">
        <f t="array" aca="1" ref="U8" ca="1">IF(T$3="None",0,(INDIRECT("TABLE_WTL[@[" &amp; U$4 &amp; "]]")))</f>
        <v>117</v>
      </c>
      <c r="V8" s="120">
        <f t="shared" si="7"/>
        <v>0</v>
      </c>
      <c r="W8" s="160">
        <v>0</v>
      </c>
      <c r="X8" s="109" cm="1">
        <f t="array" aca="1" ref="X8" ca="1">IF(W$3="None",0,(INDIRECT("TABLE_WTL[@[" &amp; X$4 &amp; "]]")))</f>
        <v>0</v>
      </c>
      <c r="Y8" s="120">
        <f t="shared" si="8"/>
        <v>150</v>
      </c>
      <c r="Z8" s="160">
        <v>150</v>
      </c>
      <c r="AA8" s="109" cm="1">
        <f t="array" aca="1" ref="AA8" ca="1">IF(Z$3="None",0,(INDIRECT("TABLE_WTL[@[" &amp; AA$4 &amp; "]]")))</f>
        <v>168</v>
      </c>
      <c r="AB8" s="120">
        <f t="shared" si="9"/>
        <v>150</v>
      </c>
      <c r="AC8" s="160">
        <v>150</v>
      </c>
      <c r="AD8" s="109" cm="1">
        <f t="array" aca="1" ref="AD8" ca="1">IF(AC$3="None",0,(INDIRECT("TABLE_WTL[@[" &amp; AD$4 &amp; "]]")))</f>
        <v>150</v>
      </c>
      <c r="AE8" s="120">
        <f t="shared" si="10"/>
        <v>0</v>
      </c>
      <c r="AF8" s="160">
        <v>0</v>
      </c>
      <c r="AG8" s="109" cm="1">
        <f t="array" aca="1" ref="AG8" ca="1">IF(AF$3="None",0,(INDIRECT("TABLE_WTL[@[" &amp; AG$4 &amp; "]]")))</f>
        <v>0</v>
      </c>
      <c r="AH8" s="120">
        <f t="shared" si="11"/>
        <v>0</v>
      </c>
      <c r="AI8" s="160">
        <v>0</v>
      </c>
      <c r="AJ8" s="109" cm="1">
        <f t="array" aca="1" ref="AJ8" ca="1">IF(AI$3="None",0,(INDIRECT("TABLE_WTL[@[" &amp; AJ$4 &amp; "]]")))</f>
        <v>0</v>
      </c>
      <c r="AK8" s="120">
        <f t="shared" si="12"/>
        <v>0</v>
      </c>
      <c r="AL8" s="160">
        <v>0</v>
      </c>
      <c r="AM8" s="109" cm="1">
        <f t="array" aca="1" ref="AM8" ca="1">IF(AL$3="None",0,(INDIRECT("TABLE_WTL[@[" &amp; AM$4 &amp; "]]")))</f>
        <v>0</v>
      </c>
      <c r="AN8" s="120">
        <f t="shared" si="13"/>
        <v>0</v>
      </c>
      <c r="AO8" s="160">
        <v>0</v>
      </c>
      <c r="AP8" s="109" cm="1">
        <f t="array" aca="1" ref="AP8" ca="1">IF(AO$3="None",0,(INDIRECT("TABLE_WTL[@[" &amp; AP$4 &amp; "]]")))</f>
        <v>0</v>
      </c>
      <c r="AQ8" s="121"/>
      <c r="AR8" s="164"/>
      <c r="AS8" s="168" t="s">
        <v>107</v>
      </c>
      <c r="AT8" s="168"/>
      <c r="AU8" s="168" t="s">
        <v>107</v>
      </c>
      <c r="AV8" s="168" t="s">
        <v>107</v>
      </c>
      <c r="AW8" s="168"/>
      <c r="AX8" s="169"/>
      <c r="AY8" s="121"/>
      <c r="AZ8" s="190"/>
      <c r="BA8" s="71"/>
      <c r="BB8" s="180"/>
      <c r="BC8" s="181"/>
      <c r="BD8" s="181"/>
      <c r="BE8" s="181"/>
      <c r="BF8" s="181"/>
      <c r="BG8" s="181"/>
      <c r="BH8" s="181"/>
      <c r="BI8" s="182"/>
      <c r="BJ8" s="71"/>
      <c r="BK8" s="111">
        <f>N8/ATP_Conditions!$C$7</f>
        <v>5.7142857142857144</v>
      </c>
    </row>
    <row r="9" spans="1:63" ht="15" thickBot="1" x14ac:dyDescent="0.4">
      <c r="A9" s="31">
        <f t="shared" si="0"/>
        <v>5</v>
      </c>
      <c r="B9" s="112">
        <f t="shared" si="1"/>
        <v>6</v>
      </c>
      <c r="C9" s="113">
        <f t="shared" si="14"/>
        <v>46055</v>
      </c>
      <c r="D9" s="114" t="str">
        <f t="shared" si="2"/>
        <v>6-2026</v>
      </c>
      <c r="E9" s="115" t="str">
        <f>_xlfn.IFNA(VLOOKUP(D9,'Race-calendar'!D:F,2,FALSE),"-")</f>
        <v>-</v>
      </c>
      <c r="F9" s="112" t="str">
        <f>_xlfn.IFNA(VLOOKUP($D9,'Race-calendar'!$D:$F,3,FALSE),"-")</f>
        <v>-</v>
      </c>
      <c r="G9" s="116" t="str">
        <f>_xlfn.IFNA(VLOOKUP(D9,'Race-calendar'!D:H,4,FALSE),"-")</f>
        <v>-</v>
      </c>
      <c r="H9" s="117"/>
      <c r="I9" s="154" t="s">
        <v>81</v>
      </c>
      <c r="J9" s="157" t="s">
        <v>107</v>
      </c>
      <c r="K9" s="156" t="str">
        <f t="shared" si="15"/>
        <v>Base 3-1</v>
      </c>
      <c r="L9" s="118"/>
      <c r="M9" s="114"/>
      <c r="N9" s="119">
        <f>VLOOKUP(K9,ATP_Conditions!M:N,2,FALSE)</f>
        <v>550</v>
      </c>
      <c r="O9" s="31">
        <f>SUM(T9,W9,Z9,AC9,AF9,AI9,AL9,AO9)+ATP_Conditions!$C$6</f>
        <v>550</v>
      </c>
      <c r="P9" s="32">
        <f t="shared" ca="1" si="3"/>
        <v>516</v>
      </c>
      <c r="Q9" s="106">
        <f t="shared" si="4"/>
        <v>0</v>
      </c>
      <c r="R9" s="107">
        <f t="shared" ca="1" si="5"/>
        <v>-34</v>
      </c>
      <c r="S9" s="120">
        <f t="shared" si="6"/>
        <v>150</v>
      </c>
      <c r="T9" s="160">
        <v>150</v>
      </c>
      <c r="U9" s="109" cm="1">
        <f t="array" aca="1" ref="U9" ca="1">IF(T$3="None",0,(INDIRECT("TABLE_WTL[@[" &amp; U$4 &amp; "]]")))</f>
        <v>148</v>
      </c>
      <c r="V9" s="120">
        <f t="shared" si="7"/>
        <v>0</v>
      </c>
      <c r="W9" s="160">
        <v>0</v>
      </c>
      <c r="X9" s="109" cm="1">
        <f t="array" aca="1" ref="X9" ca="1">IF(W$3="None",0,(INDIRECT("TABLE_WTL[@[" &amp; X$4 &amp; "]]")))</f>
        <v>0</v>
      </c>
      <c r="Y9" s="120">
        <f t="shared" si="8"/>
        <v>250</v>
      </c>
      <c r="Z9" s="160">
        <v>250</v>
      </c>
      <c r="AA9" s="109" cm="1">
        <f t="array" aca="1" ref="AA9" ca="1">IF(Z$3="None",0,(INDIRECT("TABLE_WTL[@[" &amp; AA$4 &amp; "]]")))</f>
        <v>218</v>
      </c>
      <c r="AB9" s="120">
        <f t="shared" si="9"/>
        <v>150</v>
      </c>
      <c r="AC9" s="160">
        <v>150</v>
      </c>
      <c r="AD9" s="109" cm="1">
        <f t="array" aca="1" ref="AD9" ca="1">IF(AC$3="None",0,(INDIRECT("TABLE_WTL[@[" &amp; AD$4 &amp; "]]")))</f>
        <v>150</v>
      </c>
      <c r="AE9" s="120">
        <f t="shared" si="10"/>
        <v>0</v>
      </c>
      <c r="AF9" s="160">
        <v>0</v>
      </c>
      <c r="AG9" s="109" cm="1">
        <f t="array" aca="1" ref="AG9" ca="1">IF(AF$3="None",0,(INDIRECT("TABLE_WTL[@[" &amp; AG$4 &amp; "]]")))</f>
        <v>0</v>
      </c>
      <c r="AH9" s="120">
        <f t="shared" si="11"/>
        <v>0</v>
      </c>
      <c r="AI9" s="160">
        <v>0</v>
      </c>
      <c r="AJ9" s="109" cm="1">
        <f t="array" aca="1" ref="AJ9" ca="1">IF(AI$3="None",0,(INDIRECT("TABLE_WTL[@[" &amp; AJ$4 &amp; "]]")))</f>
        <v>0</v>
      </c>
      <c r="AK9" s="120">
        <f t="shared" si="12"/>
        <v>0</v>
      </c>
      <c r="AL9" s="160">
        <v>0</v>
      </c>
      <c r="AM9" s="109" cm="1">
        <f t="array" aca="1" ref="AM9" ca="1">IF(AL$3="None",0,(INDIRECT("TABLE_WTL[@[" &amp; AM$4 &amp; "]]")))</f>
        <v>0</v>
      </c>
      <c r="AN9" s="120">
        <f t="shared" si="13"/>
        <v>0</v>
      </c>
      <c r="AO9" s="160">
        <v>0</v>
      </c>
      <c r="AP9" s="109" cm="1">
        <f t="array" aca="1" ref="AP9" ca="1">IF(AO$3="None",0,(INDIRECT("TABLE_WTL[@[" &amp; AP$4 &amp; "]]")))</f>
        <v>0</v>
      </c>
      <c r="AQ9" s="121"/>
      <c r="AR9" s="164"/>
      <c r="AS9" s="168" t="s">
        <v>107</v>
      </c>
      <c r="AT9" s="168" t="s">
        <v>107</v>
      </c>
      <c r="AU9" s="168" t="s">
        <v>107</v>
      </c>
      <c r="AV9" s="168"/>
      <c r="AW9" s="168" t="s">
        <v>107</v>
      </c>
      <c r="AX9" s="169"/>
      <c r="AY9" s="121"/>
      <c r="AZ9" s="190"/>
      <c r="BA9" s="71"/>
      <c r="BB9" s="180"/>
      <c r="BC9" s="181"/>
      <c r="BD9" s="181"/>
      <c r="BE9" s="181"/>
      <c r="BF9" s="181"/>
      <c r="BG9" s="181"/>
      <c r="BH9" s="181"/>
      <c r="BI9" s="182"/>
      <c r="BJ9" s="71"/>
      <c r="BK9" s="111">
        <f>N9/ATP_Conditions!$C$7</f>
        <v>7.8571428571428568</v>
      </c>
    </row>
    <row r="10" spans="1:63" ht="15" thickBot="1" x14ac:dyDescent="0.4">
      <c r="A10" s="31">
        <f t="shared" si="0"/>
        <v>6</v>
      </c>
      <c r="B10" s="112">
        <f t="shared" si="1"/>
        <v>7</v>
      </c>
      <c r="C10" s="113">
        <f t="shared" si="14"/>
        <v>46062</v>
      </c>
      <c r="D10" s="114" t="str">
        <f t="shared" si="2"/>
        <v>7-2026</v>
      </c>
      <c r="E10" s="115" t="str">
        <f>_xlfn.IFNA(VLOOKUP(D10,'Race-calendar'!D:F,2,FALSE),"-")</f>
        <v>-</v>
      </c>
      <c r="F10" s="112" t="str">
        <f>_xlfn.IFNA(VLOOKUP($D10,'Race-calendar'!$D:$F,3,FALSE),"-")</f>
        <v>-</v>
      </c>
      <c r="G10" s="116" t="str">
        <f>_xlfn.IFNA(VLOOKUP(D10,'Race-calendar'!D:H,4,FALSE),"-")</f>
        <v>-</v>
      </c>
      <c r="H10" s="117"/>
      <c r="I10" s="154" t="s">
        <v>81</v>
      </c>
      <c r="J10" s="157" t="s">
        <v>108</v>
      </c>
      <c r="K10" s="156" t="str">
        <f t="shared" si="15"/>
        <v>Base 3-2</v>
      </c>
      <c r="L10" s="118"/>
      <c r="M10" s="114"/>
      <c r="N10" s="119">
        <f>VLOOKUP(K10,ATP_Conditions!M:N,2,FALSE)</f>
        <v>620</v>
      </c>
      <c r="O10" s="31">
        <f>SUM(T10,W10,Z10,AC10,AF10,AI10,AL10,AO10)+ATP_Conditions!$C$6</f>
        <v>620</v>
      </c>
      <c r="P10" s="32">
        <f t="shared" ca="1" si="3"/>
        <v>644</v>
      </c>
      <c r="Q10" s="106">
        <f t="shared" si="4"/>
        <v>0</v>
      </c>
      <c r="R10" s="107">
        <f t="shared" ca="1" si="5"/>
        <v>24</v>
      </c>
      <c r="S10" s="120">
        <f t="shared" si="6"/>
        <v>170</v>
      </c>
      <c r="T10" s="160">
        <v>170</v>
      </c>
      <c r="U10" s="109" cm="1">
        <f t="array" aca="1" ref="U10" ca="1">IF(T$3="None",0,(INDIRECT("TABLE_WTL[@[" &amp; U$4 &amp; "]]")))</f>
        <v>190</v>
      </c>
      <c r="V10" s="120">
        <f t="shared" si="7"/>
        <v>0</v>
      </c>
      <c r="W10" s="160">
        <v>0</v>
      </c>
      <c r="X10" s="109" cm="1">
        <f t="array" aca="1" ref="X10" ca="1">IF(W$3="None",0,(INDIRECT("TABLE_WTL[@[" &amp; X$4 &amp; "]]")))</f>
        <v>0</v>
      </c>
      <c r="Y10" s="120">
        <f t="shared" si="8"/>
        <v>300</v>
      </c>
      <c r="Z10" s="160">
        <v>300</v>
      </c>
      <c r="AA10" s="109" cm="1">
        <f t="array" aca="1" ref="AA10" ca="1">IF(Z$3="None",0,(INDIRECT("TABLE_WTL[@[" &amp; AA$4 &amp; "]]")))</f>
        <v>304</v>
      </c>
      <c r="AB10" s="120">
        <f t="shared" si="9"/>
        <v>150</v>
      </c>
      <c r="AC10" s="160">
        <v>150</v>
      </c>
      <c r="AD10" s="109" cm="1">
        <f t="array" aca="1" ref="AD10" ca="1">IF(AC$3="None",0,(INDIRECT("TABLE_WTL[@[" &amp; AD$4 &amp; "]]")))</f>
        <v>150</v>
      </c>
      <c r="AE10" s="120">
        <f t="shared" si="10"/>
        <v>0</v>
      </c>
      <c r="AF10" s="160">
        <v>0</v>
      </c>
      <c r="AG10" s="109" cm="1">
        <f t="array" aca="1" ref="AG10" ca="1">IF(AF$3="None",0,(INDIRECT("TABLE_WTL[@[" &amp; AG$4 &amp; "]]")))</f>
        <v>0</v>
      </c>
      <c r="AH10" s="120">
        <f t="shared" si="11"/>
        <v>0</v>
      </c>
      <c r="AI10" s="160">
        <v>0</v>
      </c>
      <c r="AJ10" s="109" cm="1">
        <f t="array" aca="1" ref="AJ10" ca="1">IF(AI$3="None",0,(INDIRECT("TABLE_WTL[@[" &amp; AJ$4 &amp; "]]")))</f>
        <v>0</v>
      </c>
      <c r="AK10" s="120">
        <f t="shared" si="12"/>
        <v>0</v>
      </c>
      <c r="AL10" s="160">
        <v>0</v>
      </c>
      <c r="AM10" s="109" cm="1">
        <f t="array" aca="1" ref="AM10" ca="1">IF(AL$3="None",0,(INDIRECT("TABLE_WTL[@[" &amp; AM$4 &amp; "]]")))</f>
        <v>0</v>
      </c>
      <c r="AN10" s="120">
        <f t="shared" si="13"/>
        <v>0</v>
      </c>
      <c r="AO10" s="160">
        <v>0</v>
      </c>
      <c r="AP10" s="109" cm="1">
        <f t="array" aca="1" ref="AP10" ca="1">IF(AO$3="None",0,(INDIRECT("TABLE_WTL[@[" &amp; AP$4 &amp; "]]")))</f>
        <v>0</v>
      </c>
      <c r="AQ10" s="121"/>
      <c r="AR10" s="164"/>
      <c r="AS10" s="168" t="s">
        <v>107</v>
      </c>
      <c r="AT10" s="168" t="s">
        <v>107</v>
      </c>
      <c r="AU10" s="168" t="s">
        <v>107</v>
      </c>
      <c r="AV10" s="168"/>
      <c r="AW10" s="168" t="s">
        <v>107</v>
      </c>
      <c r="AX10" s="169"/>
      <c r="AY10" s="121"/>
      <c r="AZ10" s="190" t="s">
        <v>26</v>
      </c>
      <c r="BA10" s="71"/>
      <c r="BB10" s="180"/>
      <c r="BC10" s="181"/>
      <c r="BD10" s="181"/>
      <c r="BE10" s="181"/>
      <c r="BF10" s="181"/>
      <c r="BG10" s="181"/>
      <c r="BH10" s="181"/>
      <c r="BI10" s="182"/>
      <c r="BJ10" s="71"/>
      <c r="BK10" s="111">
        <f>N10/ATP_Conditions!$C$7</f>
        <v>8.8571428571428577</v>
      </c>
    </row>
    <row r="11" spans="1:63" ht="15" thickBot="1" x14ac:dyDescent="0.4">
      <c r="A11" s="31">
        <f t="shared" si="0"/>
        <v>7</v>
      </c>
      <c r="B11" s="112">
        <f t="shared" si="1"/>
        <v>8</v>
      </c>
      <c r="C11" s="113">
        <f t="shared" si="14"/>
        <v>46069</v>
      </c>
      <c r="D11" s="114" t="str">
        <f t="shared" si="2"/>
        <v>8-2026</v>
      </c>
      <c r="E11" s="115" t="str">
        <f>_xlfn.IFNA(VLOOKUP(D11,'Race-calendar'!D:F,2,FALSE),"-")</f>
        <v>-</v>
      </c>
      <c r="F11" s="112" t="str">
        <f>_xlfn.IFNA(VLOOKUP($D11,'Race-calendar'!$D:$F,3,FALSE),"-")</f>
        <v>-</v>
      </c>
      <c r="G11" s="116" t="str">
        <f>_xlfn.IFNA(VLOOKUP(D11,'Race-calendar'!D:H,4,FALSE),"-")</f>
        <v>-</v>
      </c>
      <c r="H11" s="117"/>
      <c r="I11" s="154" t="s">
        <v>81</v>
      </c>
      <c r="J11" s="157" t="s">
        <v>109</v>
      </c>
      <c r="K11" s="156" t="str">
        <f t="shared" si="15"/>
        <v>Base 3-3</v>
      </c>
      <c r="L11" s="118"/>
      <c r="M11" s="114"/>
      <c r="N11" s="119">
        <f>VLOOKUP(K11,ATP_Conditions!M:N,2,FALSE)</f>
        <v>680</v>
      </c>
      <c r="O11" s="31">
        <f>SUM(T11,W11,Z11,AC11,AF11,AI11,AL11,AO11)+ATP_Conditions!$C$6</f>
        <v>680</v>
      </c>
      <c r="P11" s="32">
        <f t="shared" ca="1" si="3"/>
        <v>706</v>
      </c>
      <c r="Q11" s="106">
        <f t="shared" si="4"/>
        <v>0</v>
      </c>
      <c r="R11" s="107">
        <f t="shared" ca="1" si="5"/>
        <v>26</v>
      </c>
      <c r="S11" s="120">
        <f t="shared" si="6"/>
        <v>200</v>
      </c>
      <c r="T11" s="160">
        <v>200</v>
      </c>
      <c r="U11" s="109" cm="1">
        <f t="array" aca="1" ref="U11" ca="1">IF(T$3="None",0,(INDIRECT("TABLE_WTL[@[" &amp; U$4 &amp; "]]")))</f>
        <v>201</v>
      </c>
      <c r="V11" s="120">
        <f t="shared" si="7"/>
        <v>0</v>
      </c>
      <c r="W11" s="160">
        <v>0</v>
      </c>
      <c r="X11" s="109" cm="1">
        <f t="array" aca="1" ref="X11" ca="1">IF(W$3="None",0,(INDIRECT("TABLE_WTL[@[" &amp; X$4 &amp; "]]")))</f>
        <v>0</v>
      </c>
      <c r="Y11" s="120">
        <f t="shared" si="8"/>
        <v>300</v>
      </c>
      <c r="Z11" s="160">
        <v>300</v>
      </c>
      <c r="AA11" s="109" cm="1">
        <f t="array" aca="1" ref="AA11" ca="1">IF(Z$3="None",0,(INDIRECT("TABLE_WTL[@[" &amp; AA$4 &amp; "]]")))</f>
        <v>355</v>
      </c>
      <c r="AB11" s="120">
        <f t="shared" si="9"/>
        <v>180</v>
      </c>
      <c r="AC11" s="160">
        <v>180</v>
      </c>
      <c r="AD11" s="109" cm="1">
        <f t="array" aca="1" ref="AD11" ca="1">IF(AC$3="None",0,(INDIRECT("TABLE_WTL[@[" &amp; AD$4 &amp; "]]")))</f>
        <v>150</v>
      </c>
      <c r="AE11" s="120">
        <f t="shared" si="10"/>
        <v>0</v>
      </c>
      <c r="AF11" s="160">
        <v>0</v>
      </c>
      <c r="AG11" s="109" cm="1">
        <f t="array" aca="1" ref="AG11" ca="1">IF(AF$3="None",0,(INDIRECT("TABLE_WTL[@[" &amp; AG$4 &amp; "]]")))</f>
        <v>0</v>
      </c>
      <c r="AH11" s="120">
        <f t="shared" si="11"/>
        <v>0</v>
      </c>
      <c r="AI11" s="160">
        <v>0</v>
      </c>
      <c r="AJ11" s="109" cm="1">
        <f t="array" aca="1" ref="AJ11" ca="1">IF(AI$3="None",0,(INDIRECT("TABLE_WTL[@[" &amp; AJ$4 &amp; "]]")))</f>
        <v>0</v>
      </c>
      <c r="AK11" s="120">
        <f t="shared" si="12"/>
        <v>0</v>
      </c>
      <c r="AL11" s="160">
        <v>0</v>
      </c>
      <c r="AM11" s="109" cm="1">
        <f t="array" aca="1" ref="AM11" ca="1">IF(AL$3="None",0,(INDIRECT("TABLE_WTL[@[" &amp; AM$4 &amp; "]]")))</f>
        <v>0</v>
      </c>
      <c r="AN11" s="120">
        <f t="shared" si="13"/>
        <v>0</v>
      </c>
      <c r="AO11" s="160">
        <v>0</v>
      </c>
      <c r="AP11" s="109" cm="1">
        <f t="array" aca="1" ref="AP11" ca="1">IF(AO$3="None",0,(INDIRECT("TABLE_WTL[@[" &amp; AP$4 &amp; "]]")))</f>
        <v>0</v>
      </c>
      <c r="AQ11" s="121"/>
      <c r="AR11" s="164"/>
      <c r="AS11" s="168" t="s">
        <v>107</v>
      </c>
      <c r="AT11" s="168" t="s">
        <v>107</v>
      </c>
      <c r="AU11" s="168" t="s">
        <v>107</v>
      </c>
      <c r="AV11" s="168"/>
      <c r="AW11" s="168" t="s">
        <v>107</v>
      </c>
      <c r="AX11" s="169"/>
      <c r="AY11" s="121"/>
      <c r="AZ11" s="190" t="s">
        <v>106</v>
      </c>
      <c r="BA11" s="71"/>
      <c r="BB11" s="180"/>
      <c r="BC11" s="181"/>
      <c r="BD11" s="181"/>
      <c r="BE11" s="181"/>
      <c r="BF11" s="181"/>
      <c r="BG11" s="181"/>
      <c r="BH11" s="181"/>
      <c r="BI11" s="182"/>
      <c r="BJ11" s="71"/>
      <c r="BK11" s="111">
        <f>N11/ATP_Conditions!$C$7</f>
        <v>9.7142857142857135</v>
      </c>
    </row>
    <row r="12" spans="1:63" ht="15" thickBot="1" x14ac:dyDescent="0.4">
      <c r="A12" s="31">
        <f t="shared" si="0"/>
        <v>8</v>
      </c>
      <c r="B12" s="112">
        <f t="shared" si="1"/>
        <v>9</v>
      </c>
      <c r="C12" s="122">
        <f t="shared" si="14"/>
        <v>46076</v>
      </c>
      <c r="D12" s="114" t="str">
        <f t="shared" si="2"/>
        <v>9-2026</v>
      </c>
      <c r="E12" s="115" t="str">
        <f>_xlfn.IFNA(VLOOKUP(D12,'Race-calendar'!D:F,2,FALSE),"-")</f>
        <v>-</v>
      </c>
      <c r="F12" s="112" t="str">
        <f>_xlfn.IFNA(VLOOKUP($D12,'Race-calendar'!$D:$F,3,FALSE),"-")</f>
        <v>-</v>
      </c>
      <c r="G12" s="116" t="str">
        <f>_xlfn.IFNA(VLOOKUP(D12,'Race-calendar'!D:H,4,FALSE),"-")</f>
        <v>-</v>
      </c>
      <c r="H12" s="117"/>
      <c r="I12" s="154" t="s">
        <v>81</v>
      </c>
      <c r="J12" s="157" t="s">
        <v>110</v>
      </c>
      <c r="K12" s="156" t="str">
        <f t="shared" si="15"/>
        <v>Base 3-4</v>
      </c>
      <c r="L12" s="118"/>
      <c r="M12" s="114"/>
      <c r="N12" s="119">
        <f>VLOOKUP(K12,ATP_Conditions!M:N,2,FALSE)</f>
        <v>400</v>
      </c>
      <c r="O12" s="31">
        <f>SUM(T12,W12,Z12,AC12,AF12,AI12,AL12,AO12)+ATP_Conditions!$C$6</f>
        <v>400</v>
      </c>
      <c r="P12" s="32">
        <f t="shared" ca="1" si="3"/>
        <v>398</v>
      </c>
      <c r="Q12" s="106">
        <f t="shared" si="4"/>
        <v>0</v>
      </c>
      <c r="R12" s="107">
        <f t="shared" ca="1" si="5"/>
        <v>-2</v>
      </c>
      <c r="S12" s="120">
        <f t="shared" si="6"/>
        <v>100</v>
      </c>
      <c r="T12" s="160">
        <v>100</v>
      </c>
      <c r="U12" s="109" cm="1">
        <f t="array" aca="1" ref="U12" ca="1">IF(T$3="None",0,(INDIRECT("TABLE_WTL[@[" &amp; U$4 &amp; "]]")))</f>
        <v>90</v>
      </c>
      <c r="V12" s="120">
        <f t="shared" si="7"/>
        <v>0</v>
      </c>
      <c r="W12" s="160">
        <v>0</v>
      </c>
      <c r="X12" s="109" cm="1">
        <f t="array" aca="1" ref="X12" ca="1">IF(W$3="None",0,(INDIRECT("TABLE_WTL[@[" &amp; X$4 &amp; "]]")))</f>
        <v>0</v>
      </c>
      <c r="Y12" s="120">
        <f t="shared" si="8"/>
        <v>150</v>
      </c>
      <c r="Z12" s="160">
        <v>150</v>
      </c>
      <c r="AA12" s="109" cm="1">
        <f t="array" aca="1" ref="AA12" ca="1">IF(Z$3="None",0,(INDIRECT("TABLE_WTL[@[" &amp; AA$4 &amp; "]]")))</f>
        <v>158</v>
      </c>
      <c r="AB12" s="120">
        <f t="shared" si="9"/>
        <v>150</v>
      </c>
      <c r="AC12" s="160">
        <v>150</v>
      </c>
      <c r="AD12" s="109" cm="1">
        <f t="array" aca="1" ref="AD12" ca="1">IF(AC$3="None",0,(INDIRECT("TABLE_WTL[@[" &amp; AD$4 &amp; "]]")))</f>
        <v>150</v>
      </c>
      <c r="AE12" s="120">
        <f t="shared" si="10"/>
        <v>0</v>
      </c>
      <c r="AF12" s="160">
        <v>0</v>
      </c>
      <c r="AG12" s="109" cm="1">
        <f t="array" aca="1" ref="AG12" ca="1">IF(AF$3="None",0,(INDIRECT("TABLE_WTL[@[" &amp; AG$4 &amp; "]]")))</f>
        <v>0</v>
      </c>
      <c r="AH12" s="120">
        <f t="shared" si="11"/>
        <v>0</v>
      </c>
      <c r="AI12" s="160">
        <v>0</v>
      </c>
      <c r="AJ12" s="109" cm="1">
        <f t="array" aca="1" ref="AJ12" ca="1">IF(AI$3="None",0,(INDIRECT("TABLE_WTL[@[" &amp; AJ$4 &amp; "]]")))</f>
        <v>0</v>
      </c>
      <c r="AK12" s="120">
        <f t="shared" si="12"/>
        <v>0</v>
      </c>
      <c r="AL12" s="160">
        <v>0</v>
      </c>
      <c r="AM12" s="109" cm="1">
        <f t="array" aca="1" ref="AM12" ca="1">IF(AL$3="None",0,(INDIRECT("TABLE_WTL[@[" &amp; AM$4 &amp; "]]")))</f>
        <v>0</v>
      </c>
      <c r="AN12" s="120">
        <f t="shared" si="13"/>
        <v>0</v>
      </c>
      <c r="AO12" s="160">
        <v>0</v>
      </c>
      <c r="AP12" s="109" cm="1">
        <f t="array" aca="1" ref="AP12" ca="1">IF(AO$3="None",0,(INDIRECT("TABLE_WTL[@[" &amp; AP$4 &amp; "]]")))</f>
        <v>0</v>
      </c>
      <c r="AQ12" s="121"/>
      <c r="AR12" s="164"/>
      <c r="AS12" s="168" t="s">
        <v>107</v>
      </c>
      <c r="AT12" s="168"/>
      <c r="AU12" s="168" t="s">
        <v>107</v>
      </c>
      <c r="AV12" s="168"/>
      <c r="AW12" s="168"/>
      <c r="AX12" s="169"/>
      <c r="AY12" s="121"/>
      <c r="AZ12" s="190"/>
      <c r="BA12" s="71"/>
      <c r="BB12" s="180"/>
      <c r="BC12" s="181"/>
      <c r="BD12" s="181"/>
      <c r="BE12" s="181"/>
      <c r="BF12" s="181"/>
      <c r="BG12" s="181"/>
      <c r="BH12" s="181"/>
      <c r="BI12" s="182"/>
      <c r="BJ12" s="71"/>
      <c r="BK12" s="111">
        <f>N12/ATP_Conditions!$C$7</f>
        <v>5.7142857142857144</v>
      </c>
    </row>
    <row r="13" spans="1:63" ht="15" thickBot="1" x14ac:dyDescent="0.4">
      <c r="A13" s="31">
        <f t="shared" si="0"/>
        <v>9</v>
      </c>
      <c r="B13" s="112">
        <f t="shared" si="1"/>
        <v>10</v>
      </c>
      <c r="C13" s="113">
        <f t="shared" si="14"/>
        <v>46083</v>
      </c>
      <c r="D13" s="114" t="str">
        <f t="shared" si="2"/>
        <v>10-2026</v>
      </c>
      <c r="E13" s="115" t="str">
        <f>_xlfn.IFNA(VLOOKUP(D13,'Race-calendar'!D:F,2,FALSE),"-")</f>
        <v>-</v>
      </c>
      <c r="F13" s="112" t="str">
        <f>_xlfn.IFNA(VLOOKUP($D13,'Race-calendar'!$D:$F,3,FALSE),"-")</f>
        <v>-</v>
      </c>
      <c r="G13" s="116" t="str">
        <f>_xlfn.IFNA(VLOOKUP(D13,'Race-calendar'!D:H,4,FALSE),"-")</f>
        <v>-</v>
      </c>
      <c r="H13" s="117"/>
      <c r="I13" s="154" t="s">
        <v>79</v>
      </c>
      <c r="J13" s="157" t="s">
        <v>107</v>
      </c>
      <c r="K13" s="156" t="str">
        <f t="shared" si="15"/>
        <v>Build 1-1</v>
      </c>
      <c r="L13" s="118"/>
      <c r="M13" s="114"/>
      <c r="N13" s="119">
        <f>VLOOKUP(K13,ATP_Conditions!M:N,2,FALSE)</f>
        <v>620</v>
      </c>
      <c r="O13" s="31">
        <f>SUM(T13,W13,Z13,AC13,AF13,AI13,AL13,AO13)+ATP_Conditions!$C$6</f>
        <v>600</v>
      </c>
      <c r="P13" s="32">
        <f t="shared" ca="1" si="3"/>
        <v>616</v>
      </c>
      <c r="Q13" s="106">
        <f t="shared" si="4"/>
        <v>-20</v>
      </c>
      <c r="R13" s="107">
        <f t="shared" ca="1" si="5"/>
        <v>-4</v>
      </c>
      <c r="S13" s="120">
        <f t="shared" si="6"/>
        <v>200</v>
      </c>
      <c r="T13" s="160">
        <v>200</v>
      </c>
      <c r="U13" s="109" cm="1">
        <f t="array" aca="1" ref="U13" ca="1">IF(T$3="None",0,(INDIRECT("TABLE_WTL[@[" &amp; U$4 &amp; "]]")))</f>
        <v>198</v>
      </c>
      <c r="V13" s="120">
        <f t="shared" si="7"/>
        <v>0</v>
      </c>
      <c r="W13" s="160">
        <v>0</v>
      </c>
      <c r="X13" s="109" cm="1">
        <f t="array" aca="1" ref="X13" ca="1">IF(W$3="None",0,(INDIRECT("TABLE_WTL[@[" &amp; X$4 &amp; "]]")))</f>
        <v>0</v>
      </c>
      <c r="Y13" s="120">
        <f t="shared" si="8"/>
        <v>220</v>
      </c>
      <c r="Z13" s="160">
        <v>220</v>
      </c>
      <c r="AA13" s="109" cm="1">
        <f t="array" aca="1" ref="AA13" ca="1">IF(Z$3="None",0,(INDIRECT("TABLE_WTL[@[" &amp; AA$4 &amp; "]]")))</f>
        <v>234</v>
      </c>
      <c r="AB13" s="120">
        <f t="shared" si="9"/>
        <v>150</v>
      </c>
      <c r="AC13" s="160">
        <v>150</v>
      </c>
      <c r="AD13" s="109" cm="1">
        <f t="array" aca="1" ref="AD13" ca="1">IF(AC$3="None",0,(INDIRECT("TABLE_WTL[@[" &amp; AD$4 &amp; "]]")))</f>
        <v>150</v>
      </c>
      <c r="AE13" s="120">
        <f t="shared" si="10"/>
        <v>30</v>
      </c>
      <c r="AF13" s="160">
        <v>30</v>
      </c>
      <c r="AG13" s="109" cm="1">
        <f t="array" aca="1" ref="AG13" ca="1">IF(AF$3="None",0,(INDIRECT("TABLE_WTL[@[" &amp; AG$4 &amp; "]]")))</f>
        <v>34</v>
      </c>
      <c r="AH13" s="120">
        <f t="shared" si="11"/>
        <v>0</v>
      </c>
      <c r="AI13" s="160">
        <v>0</v>
      </c>
      <c r="AJ13" s="109" cm="1">
        <f t="array" aca="1" ref="AJ13" ca="1">IF(AI$3="None",0,(INDIRECT("TABLE_WTL[@[" &amp; AJ$4 &amp; "]]")))</f>
        <v>0</v>
      </c>
      <c r="AK13" s="120">
        <f t="shared" si="12"/>
        <v>0</v>
      </c>
      <c r="AL13" s="160">
        <v>0</v>
      </c>
      <c r="AM13" s="109" cm="1">
        <f t="array" aca="1" ref="AM13" ca="1">IF(AL$3="None",0,(INDIRECT("TABLE_WTL[@[" &amp; AM$4 &amp; "]]")))</f>
        <v>0</v>
      </c>
      <c r="AN13" s="120">
        <f t="shared" si="13"/>
        <v>0</v>
      </c>
      <c r="AO13" s="160">
        <v>0</v>
      </c>
      <c r="AP13" s="109" cm="1">
        <f t="array" aca="1" ref="AP13" ca="1">IF(AO$3="None",0,(INDIRECT("TABLE_WTL[@[" &amp; AP$4 &amp; "]]")))</f>
        <v>0</v>
      </c>
      <c r="AQ13" s="121"/>
      <c r="AR13" s="164"/>
      <c r="AS13" s="168" t="s">
        <v>107</v>
      </c>
      <c r="AT13" s="168" t="s">
        <v>107</v>
      </c>
      <c r="AU13" s="168" t="s">
        <v>107</v>
      </c>
      <c r="AV13" s="168" t="s">
        <v>107</v>
      </c>
      <c r="AW13" s="168" t="s">
        <v>107</v>
      </c>
      <c r="AX13" s="169"/>
      <c r="AY13" s="121"/>
      <c r="AZ13" s="190"/>
      <c r="BA13" s="71"/>
      <c r="BB13" s="180"/>
      <c r="BC13" s="181"/>
      <c r="BD13" s="181"/>
      <c r="BE13" s="181"/>
      <c r="BF13" s="181"/>
      <c r="BG13" s="181"/>
      <c r="BH13" s="181"/>
      <c r="BI13" s="182"/>
      <c r="BJ13" s="71"/>
      <c r="BK13" s="111">
        <f>N13/ATP_Conditions!$C$7</f>
        <v>8.8571428571428577</v>
      </c>
    </row>
    <row r="14" spans="1:63" ht="15" thickBot="1" x14ac:dyDescent="0.4">
      <c r="A14" s="31">
        <f t="shared" si="0"/>
        <v>10</v>
      </c>
      <c r="B14" s="112">
        <f t="shared" si="1"/>
        <v>11</v>
      </c>
      <c r="C14" s="113">
        <f t="shared" si="14"/>
        <v>46090</v>
      </c>
      <c r="D14" s="114" t="str">
        <f t="shared" si="2"/>
        <v>11-2026</v>
      </c>
      <c r="E14" s="115" t="str">
        <f>_xlfn.IFNA(VLOOKUP(D14,'Race-calendar'!D:F,2,FALSE),"-")</f>
        <v>-</v>
      </c>
      <c r="F14" s="112" t="str">
        <f>_xlfn.IFNA(VLOOKUP($D14,'Race-calendar'!$D:$F,3,FALSE),"-")</f>
        <v>-</v>
      </c>
      <c r="G14" s="116" t="str">
        <f>_xlfn.IFNA(VLOOKUP(D14,'Race-calendar'!D:H,4,FALSE),"-")</f>
        <v>-</v>
      </c>
      <c r="H14" s="117"/>
      <c r="I14" s="154" t="s">
        <v>79</v>
      </c>
      <c r="J14" s="157" t="s">
        <v>108</v>
      </c>
      <c r="K14" s="156" t="str">
        <f t="shared" si="15"/>
        <v>Build 1-2</v>
      </c>
      <c r="L14" s="118"/>
      <c r="M14" s="114"/>
      <c r="N14" s="119">
        <f>VLOOKUP(K14,ATP_Conditions!M:N,2,FALSE)</f>
        <v>620</v>
      </c>
      <c r="O14" s="31">
        <f>SUM(T14,W14,Z14,AC14,AF14,AI14,AL14,AO14)+ATP_Conditions!$C$6</f>
        <v>620</v>
      </c>
      <c r="P14" s="32">
        <f t="shared" ca="1" si="3"/>
        <v>642</v>
      </c>
      <c r="Q14" s="106">
        <f t="shared" si="4"/>
        <v>0</v>
      </c>
      <c r="R14" s="107">
        <f t="shared" ca="1" si="5"/>
        <v>22</v>
      </c>
      <c r="S14" s="120">
        <f t="shared" si="6"/>
        <v>200</v>
      </c>
      <c r="T14" s="160">
        <v>200</v>
      </c>
      <c r="U14" s="109" cm="1">
        <f t="array" aca="1" ref="U14" ca="1">IF(T$3="None",0,(INDIRECT("TABLE_WTL[@[" &amp; U$4 &amp; "]]")))</f>
        <v>234</v>
      </c>
      <c r="V14" s="120">
        <f t="shared" si="7"/>
        <v>0</v>
      </c>
      <c r="W14" s="160">
        <v>0</v>
      </c>
      <c r="X14" s="109" cm="1">
        <f t="array" aca="1" ref="X14" ca="1">IF(W$3="None",0,(INDIRECT("TABLE_WTL[@[" &amp; X$4 &amp; "]]")))</f>
        <v>0</v>
      </c>
      <c r="Y14" s="120">
        <f t="shared" si="8"/>
        <v>220</v>
      </c>
      <c r="Z14" s="160">
        <v>220</v>
      </c>
      <c r="AA14" s="109" cm="1">
        <f t="array" aca="1" ref="AA14" ca="1">IF(Z$3="None",0,(INDIRECT("TABLE_WTL[@[" &amp; AA$4 &amp; "]]")))</f>
        <v>229</v>
      </c>
      <c r="AB14" s="120">
        <f t="shared" si="9"/>
        <v>150</v>
      </c>
      <c r="AC14" s="160">
        <v>150</v>
      </c>
      <c r="AD14" s="109" cm="1">
        <f t="array" aca="1" ref="AD14" ca="1">IF(AC$3="None",0,(INDIRECT("TABLE_WTL[@[" &amp; AD$4 &amp; "]]")))</f>
        <v>150</v>
      </c>
      <c r="AE14" s="120">
        <f t="shared" si="10"/>
        <v>50</v>
      </c>
      <c r="AF14" s="160">
        <v>50</v>
      </c>
      <c r="AG14" s="109" cm="1">
        <f t="array" aca="1" ref="AG14" ca="1">IF(AF$3="None",0,(INDIRECT("TABLE_WTL[@[" &amp; AG$4 &amp; "]]")))</f>
        <v>29</v>
      </c>
      <c r="AH14" s="120">
        <f t="shared" si="11"/>
        <v>0</v>
      </c>
      <c r="AI14" s="160">
        <v>0</v>
      </c>
      <c r="AJ14" s="109" cm="1">
        <f t="array" aca="1" ref="AJ14" ca="1">IF(AI$3="None",0,(INDIRECT("TABLE_WTL[@[" &amp; AJ$4 &amp; "]]")))</f>
        <v>0</v>
      </c>
      <c r="AK14" s="120">
        <f t="shared" si="12"/>
        <v>0</v>
      </c>
      <c r="AL14" s="160">
        <v>0</v>
      </c>
      <c r="AM14" s="109" cm="1">
        <f t="array" aca="1" ref="AM14" ca="1">IF(AL$3="None",0,(INDIRECT("TABLE_WTL[@[" &amp; AM$4 &amp; "]]")))</f>
        <v>0</v>
      </c>
      <c r="AN14" s="120">
        <f t="shared" si="13"/>
        <v>0</v>
      </c>
      <c r="AO14" s="160">
        <v>0</v>
      </c>
      <c r="AP14" s="109" cm="1">
        <f t="array" aca="1" ref="AP14" ca="1">IF(AO$3="None",0,(INDIRECT("TABLE_WTL[@[" &amp; AP$4 &amp; "]]")))</f>
        <v>0</v>
      </c>
      <c r="AQ14" s="121"/>
      <c r="AR14" s="164"/>
      <c r="AS14" s="168" t="s">
        <v>107</v>
      </c>
      <c r="AT14" s="168" t="s">
        <v>107</v>
      </c>
      <c r="AU14" s="168" t="s">
        <v>107</v>
      </c>
      <c r="AV14" s="168" t="s">
        <v>107</v>
      </c>
      <c r="AW14" s="168" t="s">
        <v>107</v>
      </c>
      <c r="AX14" s="169"/>
      <c r="AY14" s="121"/>
      <c r="AZ14" s="190" t="s">
        <v>106</v>
      </c>
      <c r="BA14" s="71"/>
      <c r="BB14" s="180"/>
      <c r="BC14" s="181"/>
      <c r="BD14" s="181"/>
      <c r="BE14" s="181"/>
      <c r="BF14" s="181"/>
      <c r="BG14" s="181"/>
      <c r="BH14" s="181"/>
      <c r="BI14" s="182"/>
      <c r="BJ14" s="71"/>
      <c r="BK14" s="111">
        <f>N14/ATP_Conditions!$C$7</f>
        <v>8.8571428571428577</v>
      </c>
    </row>
    <row r="15" spans="1:63" ht="15" thickBot="1" x14ac:dyDescent="0.4">
      <c r="A15" s="31">
        <f t="shared" si="0"/>
        <v>11</v>
      </c>
      <c r="B15" s="112">
        <f t="shared" si="1"/>
        <v>12</v>
      </c>
      <c r="C15" s="113">
        <f t="shared" si="14"/>
        <v>46097</v>
      </c>
      <c r="D15" s="114" t="str">
        <f t="shared" si="2"/>
        <v>12-2026</v>
      </c>
      <c r="E15" s="115" t="str">
        <f>_xlfn.IFNA(VLOOKUP(D15,'Race-calendar'!D:F,2,FALSE),"-")</f>
        <v>-</v>
      </c>
      <c r="F15" s="112" t="str">
        <f>_xlfn.IFNA(VLOOKUP($D15,'Race-calendar'!$D:$F,3,FALSE),"-")</f>
        <v>-</v>
      </c>
      <c r="G15" s="116" t="str">
        <f>_xlfn.IFNA(VLOOKUP(D15,'Race-calendar'!D:H,4,FALSE),"-")</f>
        <v>-</v>
      </c>
      <c r="H15" s="117"/>
      <c r="I15" s="154" t="s">
        <v>79</v>
      </c>
      <c r="J15" s="157" t="s">
        <v>109</v>
      </c>
      <c r="K15" s="156" t="str">
        <f t="shared" si="15"/>
        <v>Build 1-3</v>
      </c>
      <c r="L15" s="118"/>
      <c r="M15" s="114"/>
      <c r="N15" s="119">
        <f>VLOOKUP(K15,ATP_Conditions!M:N,2,FALSE)</f>
        <v>620</v>
      </c>
      <c r="O15" s="31">
        <f>SUM(T15,W15,Z15,AC15,AF15,AI15,AL15,AO15)+ATP_Conditions!$C$6</f>
        <v>620</v>
      </c>
      <c r="P15" s="32">
        <f t="shared" ca="1" si="3"/>
        <v>621</v>
      </c>
      <c r="Q15" s="106">
        <f t="shared" si="4"/>
        <v>0</v>
      </c>
      <c r="R15" s="107">
        <f t="shared" ca="1" si="5"/>
        <v>1</v>
      </c>
      <c r="S15" s="120">
        <f t="shared" si="6"/>
        <v>200</v>
      </c>
      <c r="T15" s="160">
        <v>200</v>
      </c>
      <c r="U15" s="109" cm="1">
        <f t="array" aca="1" ref="U15" ca="1">IF(T$3="None",0,(INDIRECT("TABLE_WTL[@[" &amp; U$4 &amp; "]]")))</f>
        <v>194</v>
      </c>
      <c r="V15" s="120">
        <f t="shared" si="7"/>
        <v>0</v>
      </c>
      <c r="W15" s="160">
        <v>0</v>
      </c>
      <c r="X15" s="109" cm="1">
        <f t="array" aca="1" ref="X15" ca="1">IF(W$3="None",0,(INDIRECT("TABLE_WTL[@[" &amp; X$4 &amp; "]]")))</f>
        <v>0</v>
      </c>
      <c r="Y15" s="120">
        <f t="shared" si="8"/>
        <v>220</v>
      </c>
      <c r="Z15" s="160">
        <v>220</v>
      </c>
      <c r="AA15" s="109" cm="1">
        <f t="array" aca="1" ref="AA15" ca="1">IF(Z$3="None",0,(INDIRECT("TABLE_WTL[@[" &amp; AA$4 &amp; "]]")))</f>
        <v>231</v>
      </c>
      <c r="AB15" s="120">
        <f t="shared" si="9"/>
        <v>150</v>
      </c>
      <c r="AC15" s="160">
        <v>150</v>
      </c>
      <c r="AD15" s="109" cm="1">
        <f t="array" aca="1" ref="AD15" ca="1">IF(AC$3="None",0,(INDIRECT("TABLE_WTL[@[" &amp; AD$4 &amp; "]]")))</f>
        <v>150</v>
      </c>
      <c r="AE15" s="120">
        <f t="shared" si="10"/>
        <v>50</v>
      </c>
      <c r="AF15" s="160">
        <v>50</v>
      </c>
      <c r="AG15" s="109" cm="1">
        <f t="array" aca="1" ref="AG15" ca="1">IF(AF$3="None",0,(INDIRECT("TABLE_WTL[@[" &amp; AG$4 &amp; "]]")))</f>
        <v>46</v>
      </c>
      <c r="AH15" s="120">
        <f t="shared" si="11"/>
        <v>0</v>
      </c>
      <c r="AI15" s="160">
        <v>0</v>
      </c>
      <c r="AJ15" s="109" cm="1">
        <f t="array" aca="1" ref="AJ15" ca="1">IF(AI$3="None",0,(INDIRECT("TABLE_WTL[@[" &amp; AJ$4 &amp; "]]")))</f>
        <v>0</v>
      </c>
      <c r="AK15" s="120">
        <f t="shared" si="12"/>
        <v>0</v>
      </c>
      <c r="AL15" s="160">
        <v>0</v>
      </c>
      <c r="AM15" s="109" cm="1">
        <f t="array" aca="1" ref="AM15" ca="1">IF(AL$3="None",0,(INDIRECT("TABLE_WTL[@[" &amp; AM$4 &amp; "]]")))</f>
        <v>0</v>
      </c>
      <c r="AN15" s="120">
        <f t="shared" si="13"/>
        <v>0</v>
      </c>
      <c r="AO15" s="160">
        <v>0</v>
      </c>
      <c r="AP15" s="109" cm="1">
        <f t="array" aca="1" ref="AP15" ca="1">IF(AO$3="None",0,(INDIRECT("TABLE_WTL[@[" &amp; AP$4 &amp; "]]")))</f>
        <v>0</v>
      </c>
      <c r="AQ15" s="121"/>
      <c r="AR15" s="164"/>
      <c r="AS15" s="168" t="s">
        <v>107</v>
      </c>
      <c r="AT15" s="168" t="s">
        <v>107</v>
      </c>
      <c r="AU15" s="168" t="s">
        <v>107</v>
      </c>
      <c r="AV15" s="168" t="s">
        <v>107</v>
      </c>
      <c r="AW15" s="168">
        <v>1</v>
      </c>
      <c r="AX15" s="169"/>
      <c r="AY15" s="121"/>
      <c r="AZ15" s="190" t="s">
        <v>26</v>
      </c>
      <c r="BA15" s="71"/>
      <c r="BB15" s="180"/>
      <c r="BC15" s="181"/>
      <c r="BD15" s="181"/>
      <c r="BE15" s="181"/>
      <c r="BF15" s="181"/>
      <c r="BG15" s="181"/>
      <c r="BH15" s="181"/>
      <c r="BI15" s="182"/>
      <c r="BJ15" s="71"/>
      <c r="BK15" s="111">
        <f>N15/ATP_Conditions!$C$7</f>
        <v>8.8571428571428577</v>
      </c>
    </row>
    <row r="16" spans="1:63" ht="15" thickBot="1" x14ac:dyDescent="0.4">
      <c r="A16" s="31">
        <f t="shared" si="0"/>
        <v>12</v>
      </c>
      <c r="B16" s="112">
        <f t="shared" si="1"/>
        <v>13</v>
      </c>
      <c r="C16" s="113">
        <f t="shared" si="14"/>
        <v>46104</v>
      </c>
      <c r="D16" s="114" t="str">
        <f t="shared" si="2"/>
        <v>13-2026</v>
      </c>
      <c r="E16" s="115" t="str">
        <f>_xlfn.IFNA(VLOOKUP(D16,'Race-calendar'!D:F,2,FALSE),"-")</f>
        <v>-</v>
      </c>
      <c r="F16" s="112" t="str">
        <f>_xlfn.IFNA(VLOOKUP($D16,'Race-calendar'!$D:$F,3,FALSE),"-")</f>
        <v>-</v>
      </c>
      <c r="G16" s="116" t="str">
        <f>_xlfn.IFNA(VLOOKUP(D16,'Race-calendar'!D:H,4,FALSE),"-")</f>
        <v>-</v>
      </c>
      <c r="H16" s="117"/>
      <c r="I16" s="154" t="s">
        <v>79</v>
      </c>
      <c r="J16" s="157" t="s">
        <v>110</v>
      </c>
      <c r="K16" s="156" t="str">
        <f t="shared" si="15"/>
        <v>Build 1-4</v>
      </c>
      <c r="L16" s="118"/>
      <c r="M16" s="114"/>
      <c r="N16" s="119">
        <f>VLOOKUP(K16,ATP_Conditions!M:N,2,FALSE)</f>
        <v>400</v>
      </c>
      <c r="O16" s="31">
        <f>SUM(T16,W16,Z16,AC16,AF16,AI16,AL16,AO16)+ATP_Conditions!$C$6</f>
        <v>400</v>
      </c>
      <c r="P16" s="32">
        <f t="shared" ca="1" si="3"/>
        <v>432</v>
      </c>
      <c r="Q16" s="106">
        <f t="shared" si="4"/>
        <v>0</v>
      </c>
      <c r="R16" s="107">
        <f t="shared" ca="1" si="5"/>
        <v>32</v>
      </c>
      <c r="S16" s="120">
        <f t="shared" si="6"/>
        <v>120</v>
      </c>
      <c r="T16" s="160">
        <v>120</v>
      </c>
      <c r="U16" s="109" cm="1">
        <f t="array" aca="1" ref="U16" ca="1">IF(T$3="None",0,(INDIRECT("TABLE_WTL[@[" &amp; U$4 &amp; "]]")))</f>
        <v>133</v>
      </c>
      <c r="V16" s="120">
        <f t="shared" si="7"/>
        <v>0</v>
      </c>
      <c r="W16" s="160">
        <v>0</v>
      </c>
      <c r="X16" s="109" cm="1">
        <f t="array" aca="1" ref="X16" ca="1">IF(W$3="None",0,(INDIRECT("TABLE_WTL[@[" &amp; X$4 &amp; "]]")))</f>
        <v>0</v>
      </c>
      <c r="Y16" s="120">
        <f t="shared" si="8"/>
        <v>100</v>
      </c>
      <c r="Z16" s="160">
        <v>100</v>
      </c>
      <c r="AA16" s="109" cm="1">
        <f t="array" aca="1" ref="AA16" ca="1">IF(Z$3="None",0,(INDIRECT("TABLE_WTL[@[" &amp; AA$4 &amp; "]]")))</f>
        <v>118</v>
      </c>
      <c r="AB16" s="120">
        <f t="shared" si="9"/>
        <v>150</v>
      </c>
      <c r="AC16" s="160">
        <v>150</v>
      </c>
      <c r="AD16" s="109" cm="1">
        <f t="array" aca="1" ref="AD16" ca="1">IF(AC$3="None",0,(INDIRECT("TABLE_WTL[@[" &amp; AD$4 &amp; "]]")))</f>
        <v>150</v>
      </c>
      <c r="AE16" s="120">
        <f t="shared" si="10"/>
        <v>30</v>
      </c>
      <c r="AF16" s="160">
        <v>30</v>
      </c>
      <c r="AG16" s="109" cm="1">
        <f t="array" aca="1" ref="AG16" ca="1">IF(AF$3="None",0,(INDIRECT("TABLE_WTL[@[" &amp; AG$4 &amp; "]]")))</f>
        <v>31</v>
      </c>
      <c r="AH16" s="120">
        <f t="shared" si="11"/>
        <v>0</v>
      </c>
      <c r="AI16" s="160">
        <v>0</v>
      </c>
      <c r="AJ16" s="109" cm="1">
        <f t="array" aca="1" ref="AJ16" ca="1">IF(AI$3="None",0,(INDIRECT("TABLE_WTL[@[" &amp; AJ$4 &amp; "]]")))</f>
        <v>0</v>
      </c>
      <c r="AK16" s="120">
        <f t="shared" si="12"/>
        <v>0</v>
      </c>
      <c r="AL16" s="160">
        <v>0</v>
      </c>
      <c r="AM16" s="109" cm="1">
        <f t="array" aca="1" ref="AM16" ca="1">IF(AL$3="None",0,(INDIRECT("TABLE_WTL[@[" &amp; AM$4 &amp; "]]")))</f>
        <v>0</v>
      </c>
      <c r="AN16" s="120">
        <f t="shared" si="13"/>
        <v>0</v>
      </c>
      <c r="AO16" s="160">
        <v>0</v>
      </c>
      <c r="AP16" s="109" cm="1">
        <f t="array" aca="1" ref="AP16" ca="1">IF(AO$3="None",0,(INDIRECT("TABLE_WTL[@[" &amp; AP$4 &amp; "]]")))</f>
        <v>0</v>
      </c>
      <c r="AQ16" s="121"/>
      <c r="AR16" s="164"/>
      <c r="AS16" s="168" t="s">
        <v>107</v>
      </c>
      <c r="AT16" s="168"/>
      <c r="AU16" s="168" t="s">
        <v>107</v>
      </c>
      <c r="AV16" s="168"/>
      <c r="AW16" s="168"/>
      <c r="AX16" s="169"/>
      <c r="AY16" s="121"/>
      <c r="AZ16" s="190"/>
      <c r="BA16" s="71"/>
      <c r="BB16" s="180"/>
      <c r="BC16" s="181"/>
      <c r="BD16" s="181"/>
      <c r="BE16" s="181"/>
      <c r="BF16" s="181"/>
      <c r="BG16" s="181"/>
      <c r="BH16" s="181"/>
      <c r="BI16" s="182"/>
      <c r="BJ16" s="71"/>
      <c r="BK16" s="111">
        <f>N16/ATP_Conditions!$C$7</f>
        <v>5.7142857142857144</v>
      </c>
    </row>
    <row r="17" spans="1:63" ht="15" thickBot="1" x14ac:dyDescent="0.4">
      <c r="A17" s="31">
        <f t="shared" si="0"/>
        <v>13</v>
      </c>
      <c r="B17" s="112">
        <f t="shared" si="1"/>
        <v>14</v>
      </c>
      <c r="C17" s="113">
        <f t="shared" si="14"/>
        <v>46111</v>
      </c>
      <c r="D17" s="114" t="str">
        <f t="shared" si="2"/>
        <v>14-2026</v>
      </c>
      <c r="E17" s="115" t="str">
        <f>_xlfn.IFNA(VLOOKUP(D17,'Race-calendar'!D:F,2,FALSE),"-")</f>
        <v>-</v>
      </c>
      <c r="F17" s="112" t="str">
        <f>_xlfn.IFNA(VLOOKUP($D17,'Race-calendar'!$D:$F,3,FALSE),"-")</f>
        <v>-</v>
      </c>
      <c r="G17" s="116" t="str">
        <f>_xlfn.IFNA(VLOOKUP(D17,'Race-calendar'!D:H,4,FALSE),"-")</f>
        <v>-</v>
      </c>
      <c r="H17" s="117"/>
      <c r="I17" s="154" t="s">
        <v>80</v>
      </c>
      <c r="J17" s="157" t="s">
        <v>107</v>
      </c>
      <c r="K17" s="156" t="str">
        <f t="shared" si="15"/>
        <v>Build 2-1</v>
      </c>
      <c r="L17" s="118"/>
      <c r="M17" s="114"/>
      <c r="N17" s="119">
        <f>VLOOKUP(K17,ATP_Conditions!M:N,2,FALSE)</f>
        <v>680</v>
      </c>
      <c r="O17" s="31">
        <f>SUM(T17,W17,Z17,AC17,AF17,AI17,AL17,AO17)+ATP_Conditions!$C$6</f>
        <v>680</v>
      </c>
      <c r="P17" s="32">
        <f t="shared" ca="1" si="3"/>
        <v>666</v>
      </c>
      <c r="Q17" s="106">
        <f t="shared" si="4"/>
        <v>0</v>
      </c>
      <c r="R17" s="107">
        <f t="shared" ca="1" si="5"/>
        <v>-14</v>
      </c>
      <c r="S17" s="120">
        <f t="shared" si="6"/>
        <v>230</v>
      </c>
      <c r="T17" s="160">
        <v>230</v>
      </c>
      <c r="U17" s="109" cm="1">
        <f t="array" aca="1" ref="U17" ca="1">IF(T$3="None",0,(INDIRECT("TABLE_WTL[@[" &amp; U$4 &amp; "]]")))</f>
        <v>229</v>
      </c>
      <c r="V17" s="120">
        <f t="shared" si="7"/>
        <v>0</v>
      </c>
      <c r="W17" s="160">
        <v>0</v>
      </c>
      <c r="X17" s="109" cm="1">
        <f t="array" aca="1" ref="X17" ca="1">IF(W$3="None",0,(INDIRECT("TABLE_WTL[@[" &amp; X$4 &amp; "]]")))</f>
        <v>0</v>
      </c>
      <c r="Y17" s="120">
        <f t="shared" si="8"/>
        <v>250</v>
      </c>
      <c r="Z17" s="160">
        <v>250</v>
      </c>
      <c r="AA17" s="109" cm="1">
        <f t="array" aca="1" ref="AA17" ca="1">IF(Z$3="None",0,(INDIRECT("TABLE_WTL[@[" &amp; AA$4 &amp; "]]")))</f>
        <v>253</v>
      </c>
      <c r="AB17" s="120">
        <f t="shared" si="9"/>
        <v>150</v>
      </c>
      <c r="AC17" s="160">
        <v>150</v>
      </c>
      <c r="AD17" s="109" cm="1">
        <f t="array" aca="1" ref="AD17" ca="1">IF(AC$3="None",0,(INDIRECT("TABLE_WTL[@[" &amp; AD$4 &amp; "]]")))</f>
        <v>150</v>
      </c>
      <c r="AE17" s="120">
        <f t="shared" si="10"/>
        <v>50</v>
      </c>
      <c r="AF17" s="160">
        <v>50</v>
      </c>
      <c r="AG17" s="109" cm="1">
        <f t="array" aca="1" ref="AG17" ca="1">IF(AF$3="None",0,(INDIRECT("TABLE_WTL[@[" &amp; AG$4 &amp; "]]")))</f>
        <v>34</v>
      </c>
      <c r="AH17" s="120">
        <f t="shared" si="11"/>
        <v>0</v>
      </c>
      <c r="AI17" s="160">
        <v>0</v>
      </c>
      <c r="AJ17" s="109" cm="1">
        <f t="array" aca="1" ref="AJ17" ca="1">IF(AI$3="None",0,(INDIRECT("TABLE_WTL[@[" &amp; AJ$4 &amp; "]]")))</f>
        <v>0</v>
      </c>
      <c r="AK17" s="120">
        <f t="shared" si="12"/>
        <v>0</v>
      </c>
      <c r="AL17" s="160">
        <v>0</v>
      </c>
      <c r="AM17" s="109" cm="1">
        <f t="array" aca="1" ref="AM17" ca="1">IF(AL$3="None",0,(INDIRECT("TABLE_WTL[@[" &amp; AM$4 &amp; "]]")))</f>
        <v>0</v>
      </c>
      <c r="AN17" s="120">
        <f t="shared" si="13"/>
        <v>0</v>
      </c>
      <c r="AO17" s="160">
        <v>0</v>
      </c>
      <c r="AP17" s="109" cm="1">
        <f t="array" aca="1" ref="AP17" ca="1">IF(AO$3="None",0,(INDIRECT("TABLE_WTL[@[" &amp; AP$4 &amp; "]]")))</f>
        <v>0</v>
      </c>
      <c r="AQ17" s="121"/>
      <c r="AR17" s="164"/>
      <c r="AS17" s="168" t="s">
        <v>107</v>
      </c>
      <c r="AT17" s="168" t="s">
        <v>107</v>
      </c>
      <c r="AU17" s="168" t="s">
        <v>107</v>
      </c>
      <c r="AV17" s="168" t="s">
        <v>107</v>
      </c>
      <c r="AW17" s="168" t="s">
        <v>107</v>
      </c>
      <c r="AX17" s="169"/>
      <c r="AY17" s="121"/>
      <c r="AZ17" s="190"/>
      <c r="BA17" s="71"/>
      <c r="BB17" s="180"/>
      <c r="BC17" s="181"/>
      <c r="BD17" s="181"/>
      <c r="BE17" s="181"/>
      <c r="BF17" s="181"/>
      <c r="BG17" s="181"/>
      <c r="BH17" s="181"/>
      <c r="BI17" s="182"/>
      <c r="BJ17" s="71"/>
      <c r="BK17" s="111">
        <f>N17/ATP_Conditions!$C$7</f>
        <v>9.7142857142857135</v>
      </c>
    </row>
    <row r="18" spans="1:63" ht="15" thickBot="1" x14ac:dyDescent="0.4">
      <c r="A18" s="31">
        <f t="shared" si="0"/>
        <v>14</v>
      </c>
      <c r="B18" s="112">
        <f t="shared" si="1"/>
        <v>15</v>
      </c>
      <c r="C18" s="113">
        <f t="shared" si="14"/>
        <v>46118</v>
      </c>
      <c r="D18" s="114" t="str">
        <f t="shared" si="2"/>
        <v>15-2026</v>
      </c>
      <c r="E18" s="115" t="str">
        <f>_xlfn.IFNA(VLOOKUP(D18,'Race-calendar'!D:F,2,FALSE),"-")</f>
        <v>-</v>
      </c>
      <c r="F18" s="112" t="str">
        <f>_xlfn.IFNA(VLOOKUP($D18,'Race-calendar'!$D:$F,3,FALSE),"-")</f>
        <v>-</v>
      </c>
      <c r="G18" s="116" t="str">
        <f>_xlfn.IFNA(VLOOKUP(D18,'Race-calendar'!D:H,4,FALSE),"-")</f>
        <v>-</v>
      </c>
      <c r="H18" s="117"/>
      <c r="I18" s="154" t="s">
        <v>80</v>
      </c>
      <c r="J18" s="157" t="s">
        <v>108</v>
      </c>
      <c r="K18" s="156" t="str">
        <f t="shared" si="15"/>
        <v>Build 2-2</v>
      </c>
      <c r="L18" s="118"/>
      <c r="M18" s="114"/>
      <c r="N18" s="119">
        <f>VLOOKUP(K18,ATP_Conditions!M:N,2,FALSE)</f>
        <v>680</v>
      </c>
      <c r="O18" s="31">
        <f>SUM(T18,W18,Z18,AC18,AF18,AI18,AL18,AO18)+ATP_Conditions!$C$6</f>
        <v>680</v>
      </c>
      <c r="P18" s="32">
        <f t="shared" ca="1" si="3"/>
        <v>664</v>
      </c>
      <c r="Q18" s="106">
        <f t="shared" si="4"/>
        <v>0</v>
      </c>
      <c r="R18" s="107">
        <f t="shared" ca="1" si="5"/>
        <v>-16</v>
      </c>
      <c r="S18" s="120">
        <f t="shared" si="6"/>
        <v>230</v>
      </c>
      <c r="T18" s="160">
        <v>230</v>
      </c>
      <c r="U18" s="109" cm="1">
        <f t="array" aca="1" ref="U18" ca="1">IF(T$3="None",0,(INDIRECT("TABLE_WTL[@[" &amp; U$4 &amp; "]]")))</f>
        <v>226</v>
      </c>
      <c r="V18" s="120">
        <f t="shared" si="7"/>
        <v>0</v>
      </c>
      <c r="W18" s="160">
        <v>0</v>
      </c>
      <c r="X18" s="109" cm="1">
        <f t="array" aca="1" ref="X18" ca="1">IF(W$3="None",0,(INDIRECT("TABLE_WTL[@[" &amp; X$4 &amp; "]]")))</f>
        <v>0</v>
      </c>
      <c r="Y18" s="120">
        <f t="shared" si="8"/>
        <v>250</v>
      </c>
      <c r="Z18" s="160">
        <v>250</v>
      </c>
      <c r="AA18" s="109" cm="1">
        <f t="array" aca="1" ref="AA18" ca="1">IF(Z$3="None",0,(INDIRECT("TABLE_WTL[@[" &amp; AA$4 &amp; "]]")))</f>
        <v>254</v>
      </c>
      <c r="AB18" s="120">
        <f t="shared" si="9"/>
        <v>150</v>
      </c>
      <c r="AC18" s="160">
        <v>150</v>
      </c>
      <c r="AD18" s="109" cm="1">
        <f t="array" aca="1" ref="AD18" ca="1">IF(AC$3="None",0,(INDIRECT("TABLE_WTL[@[" &amp; AD$4 &amp; "]]")))</f>
        <v>150</v>
      </c>
      <c r="AE18" s="120">
        <f t="shared" si="10"/>
        <v>50</v>
      </c>
      <c r="AF18" s="160">
        <v>50</v>
      </c>
      <c r="AG18" s="109" cm="1">
        <f t="array" aca="1" ref="AG18" ca="1">IF(AF$3="None",0,(INDIRECT("TABLE_WTL[@[" &amp; AG$4 &amp; "]]")))</f>
        <v>34</v>
      </c>
      <c r="AH18" s="120">
        <f t="shared" si="11"/>
        <v>0</v>
      </c>
      <c r="AI18" s="160">
        <v>0</v>
      </c>
      <c r="AJ18" s="109" cm="1">
        <f t="array" aca="1" ref="AJ18" ca="1">IF(AI$3="None",0,(INDIRECT("TABLE_WTL[@[" &amp; AJ$4 &amp; "]]")))</f>
        <v>0</v>
      </c>
      <c r="AK18" s="120">
        <f t="shared" si="12"/>
        <v>0</v>
      </c>
      <c r="AL18" s="160">
        <v>0</v>
      </c>
      <c r="AM18" s="109" cm="1">
        <f t="array" aca="1" ref="AM18" ca="1">IF(AL$3="None",0,(INDIRECT("TABLE_WTL[@[" &amp; AM$4 &amp; "]]")))</f>
        <v>0</v>
      </c>
      <c r="AN18" s="120">
        <f t="shared" si="13"/>
        <v>0</v>
      </c>
      <c r="AO18" s="160">
        <v>0</v>
      </c>
      <c r="AP18" s="109" cm="1">
        <f t="array" aca="1" ref="AP18" ca="1">IF(AO$3="None",0,(INDIRECT("TABLE_WTL[@[" &amp; AP$4 &amp; "]]")))</f>
        <v>0</v>
      </c>
      <c r="AQ18" s="121"/>
      <c r="AR18" s="164"/>
      <c r="AS18" s="168" t="s">
        <v>107</v>
      </c>
      <c r="AT18" s="168" t="s">
        <v>107</v>
      </c>
      <c r="AU18" s="168" t="s">
        <v>107</v>
      </c>
      <c r="AV18" s="168" t="s">
        <v>107</v>
      </c>
      <c r="AW18" s="168" t="s">
        <v>107</v>
      </c>
      <c r="AX18" s="169"/>
      <c r="AY18" s="121"/>
      <c r="AZ18" s="190" t="s">
        <v>106</v>
      </c>
      <c r="BA18" s="71"/>
      <c r="BB18" s="180"/>
      <c r="BC18" s="181"/>
      <c r="BD18" s="181"/>
      <c r="BE18" s="181"/>
      <c r="BF18" s="181"/>
      <c r="BG18" s="181"/>
      <c r="BH18" s="181"/>
      <c r="BI18" s="182"/>
      <c r="BJ18" s="71"/>
      <c r="BK18" s="111">
        <f>N18/ATP_Conditions!$C$7</f>
        <v>9.7142857142857135</v>
      </c>
    </row>
    <row r="19" spans="1:63" ht="15" thickBot="1" x14ac:dyDescent="0.4">
      <c r="A19" s="123">
        <f t="shared" si="0"/>
        <v>15</v>
      </c>
      <c r="B19" s="124">
        <f t="shared" si="1"/>
        <v>16</v>
      </c>
      <c r="C19" s="125">
        <f t="shared" si="14"/>
        <v>46125</v>
      </c>
      <c r="D19" s="126" t="str">
        <f t="shared" si="2"/>
        <v>16-2026</v>
      </c>
      <c r="E19" s="127" t="str">
        <f>_xlfn.IFNA(VLOOKUP(D19,'Race-calendar'!D:F,2,FALSE),"-")</f>
        <v>-</v>
      </c>
      <c r="F19" s="124" t="str">
        <f>_xlfn.IFNA(VLOOKUP($D19,'Race-calendar'!$D:$F,3,FALSE),"-")</f>
        <v>-</v>
      </c>
      <c r="G19" s="128" t="str">
        <f>_xlfn.IFNA(VLOOKUP(D19,'Race-calendar'!D:H,4,FALSE),"-")</f>
        <v>-</v>
      </c>
      <c r="H19" s="129"/>
      <c r="I19" s="154" t="s">
        <v>80</v>
      </c>
      <c r="J19" s="157" t="s">
        <v>109</v>
      </c>
      <c r="K19" s="156" t="str">
        <f t="shared" si="15"/>
        <v>Build 2-3</v>
      </c>
      <c r="L19" s="118"/>
      <c r="M19" s="114"/>
      <c r="N19" s="119">
        <f>VLOOKUP(K19,ATP_Conditions!M:N,2,FALSE)</f>
        <v>680</v>
      </c>
      <c r="O19" s="31">
        <f>SUM(T19,W19,Z19,AC19,AF19,AI19,AL19,AO19)+ATP_Conditions!$C$6</f>
        <v>680</v>
      </c>
      <c r="P19" s="32">
        <f t="shared" ca="1" si="3"/>
        <v>683</v>
      </c>
      <c r="Q19" s="106">
        <f t="shared" si="4"/>
        <v>0</v>
      </c>
      <c r="R19" s="107">
        <f t="shared" ca="1" si="5"/>
        <v>3</v>
      </c>
      <c r="S19" s="120">
        <f t="shared" si="6"/>
        <v>230</v>
      </c>
      <c r="T19" s="160">
        <v>230</v>
      </c>
      <c r="U19" s="109" cm="1">
        <f t="array" aca="1" ref="U19" ca="1">IF(T$3="None",0,(INDIRECT("TABLE_WTL[@[" &amp; U$4 &amp; "]]")))</f>
        <v>228</v>
      </c>
      <c r="V19" s="120">
        <f t="shared" si="7"/>
        <v>0</v>
      </c>
      <c r="W19" s="160">
        <v>0</v>
      </c>
      <c r="X19" s="109" cm="1">
        <f t="array" aca="1" ref="X19" ca="1">IF(W$3="None",0,(INDIRECT("TABLE_WTL[@[" &amp; X$4 &amp; "]]")))</f>
        <v>0</v>
      </c>
      <c r="Y19" s="120">
        <f t="shared" si="8"/>
        <v>250</v>
      </c>
      <c r="Z19" s="160">
        <v>250</v>
      </c>
      <c r="AA19" s="109" cm="1">
        <f t="array" aca="1" ref="AA19" ca="1">IF(Z$3="None",0,(INDIRECT("TABLE_WTL[@[" &amp; AA$4 &amp; "]]")))</f>
        <v>255</v>
      </c>
      <c r="AB19" s="120">
        <f t="shared" si="9"/>
        <v>150</v>
      </c>
      <c r="AC19" s="160">
        <v>150</v>
      </c>
      <c r="AD19" s="109" cm="1">
        <f t="array" aca="1" ref="AD19" ca="1">IF(AC$3="None",0,(INDIRECT("TABLE_WTL[@[" &amp; AD$4 &amp; "]]")))</f>
        <v>150</v>
      </c>
      <c r="AE19" s="120">
        <f t="shared" si="10"/>
        <v>50</v>
      </c>
      <c r="AF19" s="160">
        <v>50</v>
      </c>
      <c r="AG19" s="109" cm="1">
        <f t="array" aca="1" ref="AG19" ca="1">IF(AF$3="None",0,(INDIRECT("TABLE_WTL[@[" &amp; AG$4 &amp; "]]")))</f>
        <v>50</v>
      </c>
      <c r="AH19" s="120">
        <f t="shared" si="11"/>
        <v>0</v>
      </c>
      <c r="AI19" s="160">
        <v>0</v>
      </c>
      <c r="AJ19" s="109" cm="1">
        <f t="array" aca="1" ref="AJ19" ca="1">IF(AI$3="None",0,(INDIRECT("TABLE_WTL[@[" &amp; AJ$4 &amp; "]]")))</f>
        <v>0</v>
      </c>
      <c r="AK19" s="120">
        <f t="shared" si="12"/>
        <v>0</v>
      </c>
      <c r="AL19" s="160">
        <v>0</v>
      </c>
      <c r="AM19" s="109" cm="1">
        <f t="array" aca="1" ref="AM19" ca="1">IF(AL$3="None",0,(INDIRECT("TABLE_WTL[@[" &amp; AM$4 &amp; "]]")))</f>
        <v>0</v>
      </c>
      <c r="AN19" s="120">
        <f t="shared" si="13"/>
        <v>0</v>
      </c>
      <c r="AO19" s="160">
        <v>0</v>
      </c>
      <c r="AP19" s="109" cm="1">
        <f t="array" aca="1" ref="AP19" ca="1">IF(AO$3="None",0,(INDIRECT("TABLE_WTL[@[" &amp; AP$4 &amp; "]]")))</f>
        <v>0</v>
      </c>
      <c r="AQ19" s="121"/>
      <c r="AR19" s="164"/>
      <c r="AS19" s="168" t="s">
        <v>107</v>
      </c>
      <c r="AT19" s="168" t="s">
        <v>107</v>
      </c>
      <c r="AU19" s="168" t="s">
        <v>107</v>
      </c>
      <c r="AV19" s="168" t="s">
        <v>107</v>
      </c>
      <c r="AW19" s="168" t="s">
        <v>107</v>
      </c>
      <c r="AX19" s="169"/>
      <c r="AY19" s="121"/>
      <c r="AZ19" s="190" t="s">
        <v>26</v>
      </c>
      <c r="BA19" s="71"/>
      <c r="BB19" s="180"/>
      <c r="BC19" s="181"/>
      <c r="BD19" s="181"/>
      <c r="BE19" s="181"/>
      <c r="BF19" s="181"/>
      <c r="BG19" s="181"/>
      <c r="BH19" s="181"/>
      <c r="BI19" s="182"/>
      <c r="BJ19" s="71"/>
      <c r="BK19" s="111">
        <f>N19/ATP_Conditions!$C$7</f>
        <v>9.7142857142857135</v>
      </c>
    </row>
    <row r="20" spans="1:63" ht="15" thickBot="1" x14ac:dyDescent="0.4">
      <c r="A20" s="31">
        <f t="shared" si="0"/>
        <v>16</v>
      </c>
      <c r="B20" s="112">
        <f t="shared" si="1"/>
        <v>17</v>
      </c>
      <c r="C20" s="113">
        <f t="shared" si="14"/>
        <v>46132</v>
      </c>
      <c r="D20" s="114" t="str">
        <f t="shared" si="2"/>
        <v>17-2026</v>
      </c>
      <c r="E20" s="115" t="str">
        <f>_xlfn.IFNA(VLOOKUP(D20,'Race-calendar'!D:F,2,FALSE),"-")</f>
        <v>-</v>
      </c>
      <c r="F20" s="112" t="str">
        <f>_xlfn.IFNA(VLOOKUP($D20,'Race-calendar'!$D:$F,3,FALSE),"-")</f>
        <v>-</v>
      </c>
      <c r="G20" s="116" t="str">
        <f>_xlfn.IFNA(VLOOKUP(D20,'Race-calendar'!D:H,4,FALSE),"-")</f>
        <v>-</v>
      </c>
      <c r="H20" s="117"/>
      <c r="I20" s="154" t="s">
        <v>80</v>
      </c>
      <c r="J20" s="157" t="s">
        <v>110</v>
      </c>
      <c r="K20" s="156" t="str">
        <f t="shared" si="15"/>
        <v>Build 2-4</v>
      </c>
      <c r="L20" s="118"/>
      <c r="M20" s="114"/>
      <c r="N20" s="119">
        <f>VLOOKUP(K20,ATP_Conditions!M:N,2,FALSE)</f>
        <v>400</v>
      </c>
      <c r="O20" s="31">
        <f>SUM(T20,W20,Z20,AC20,AF20,AI20,AL20,AO20)+ATP_Conditions!$C$6</f>
        <v>400</v>
      </c>
      <c r="P20" s="32">
        <f t="shared" ca="1" si="3"/>
        <v>430</v>
      </c>
      <c r="Q20" s="106">
        <f t="shared" si="4"/>
        <v>0</v>
      </c>
      <c r="R20" s="107">
        <f t="shared" ca="1" si="5"/>
        <v>30</v>
      </c>
      <c r="S20" s="120">
        <f t="shared" si="6"/>
        <v>120</v>
      </c>
      <c r="T20" s="160">
        <v>120</v>
      </c>
      <c r="U20" s="109" cm="1">
        <f t="array" aca="1" ref="U20" ca="1">IF(T$3="None",0,(INDIRECT("TABLE_WTL[@[" &amp; U$4 &amp; "]]")))</f>
        <v>131</v>
      </c>
      <c r="V20" s="120">
        <f t="shared" si="7"/>
        <v>0</v>
      </c>
      <c r="W20" s="160">
        <v>0</v>
      </c>
      <c r="X20" s="109" cm="1">
        <f t="array" aca="1" ref="X20" ca="1">IF(W$3="None",0,(INDIRECT("TABLE_WTL[@[" &amp; X$4 &amp; "]]")))</f>
        <v>0</v>
      </c>
      <c r="Y20" s="120">
        <f t="shared" si="8"/>
        <v>100</v>
      </c>
      <c r="Z20" s="160">
        <v>100</v>
      </c>
      <c r="AA20" s="109" cm="1">
        <f t="array" aca="1" ref="AA20" ca="1">IF(Z$3="None",0,(INDIRECT("TABLE_WTL[@[" &amp; AA$4 &amp; "]]")))</f>
        <v>118</v>
      </c>
      <c r="AB20" s="120">
        <f t="shared" si="9"/>
        <v>150</v>
      </c>
      <c r="AC20" s="160">
        <v>150</v>
      </c>
      <c r="AD20" s="109" cm="1">
        <f t="array" aca="1" ref="AD20" ca="1">IF(AC$3="None",0,(INDIRECT("TABLE_WTL[@[" &amp; AD$4 &amp; "]]")))</f>
        <v>150</v>
      </c>
      <c r="AE20" s="120">
        <f t="shared" si="10"/>
        <v>30</v>
      </c>
      <c r="AF20" s="160">
        <v>30</v>
      </c>
      <c r="AG20" s="109" cm="1">
        <f t="array" aca="1" ref="AG20" ca="1">IF(AF$3="None",0,(INDIRECT("TABLE_WTL[@[" &amp; AG$4 &amp; "]]")))</f>
        <v>31</v>
      </c>
      <c r="AH20" s="120">
        <f t="shared" si="11"/>
        <v>0</v>
      </c>
      <c r="AI20" s="160">
        <v>0</v>
      </c>
      <c r="AJ20" s="109" cm="1">
        <f t="array" aca="1" ref="AJ20" ca="1">IF(AI$3="None",0,(INDIRECT("TABLE_WTL[@[" &amp; AJ$4 &amp; "]]")))</f>
        <v>0</v>
      </c>
      <c r="AK20" s="120">
        <f t="shared" si="12"/>
        <v>0</v>
      </c>
      <c r="AL20" s="160">
        <v>0</v>
      </c>
      <c r="AM20" s="109" cm="1">
        <f t="array" aca="1" ref="AM20" ca="1">IF(AL$3="None",0,(INDIRECT("TABLE_WTL[@[" &amp; AM$4 &amp; "]]")))</f>
        <v>0</v>
      </c>
      <c r="AN20" s="120">
        <f t="shared" si="13"/>
        <v>0</v>
      </c>
      <c r="AO20" s="160">
        <v>0</v>
      </c>
      <c r="AP20" s="109" cm="1">
        <f t="array" aca="1" ref="AP20" ca="1">IF(AO$3="None",0,(INDIRECT("TABLE_WTL[@[" &amp; AP$4 &amp; "]]")))</f>
        <v>0</v>
      </c>
      <c r="AQ20" s="121"/>
      <c r="AR20" s="164"/>
      <c r="AS20" s="168" t="s">
        <v>107</v>
      </c>
      <c r="AT20" s="168"/>
      <c r="AU20" s="168" t="s">
        <v>107</v>
      </c>
      <c r="AV20" s="168"/>
      <c r="AW20" s="168"/>
      <c r="AX20" s="169"/>
      <c r="AY20" s="121"/>
      <c r="AZ20" s="191"/>
      <c r="BA20" s="71"/>
      <c r="BB20" s="180"/>
      <c r="BC20" s="181"/>
      <c r="BD20" s="181"/>
      <c r="BE20" s="181"/>
      <c r="BF20" s="181"/>
      <c r="BG20" s="181"/>
      <c r="BH20" s="181"/>
      <c r="BI20" s="182"/>
      <c r="BJ20" s="71"/>
      <c r="BK20" s="111">
        <f>N20/ATP_Conditions!$C$7</f>
        <v>5.7142857142857144</v>
      </c>
    </row>
    <row r="21" spans="1:63" ht="15" thickBot="1" x14ac:dyDescent="0.4">
      <c r="A21" s="31">
        <f t="shared" si="0"/>
        <v>17</v>
      </c>
      <c r="B21" s="112">
        <f t="shared" si="1"/>
        <v>18</v>
      </c>
      <c r="C21" s="122">
        <f t="shared" si="14"/>
        <v>46139</v>
      </c>
      <c r="D21" s="114" t="str">
        <f t="shared" si="2"/>
        <v>18-2026</v>
      </c>
      <c r="E21" s="115" t="str">
        <f>_xlfn.IFNA(VLOOKUP(D21,'Race-calendar'!D:F,2,FALSE),"-")</f>
        <v>-</v>
      </c>
      <c r="F21" s="112" t="str">
        <f>_xlfn.IFNA(VLOOKUP($D21,'Race-calendar'!$D:$F,3,FALSE),"-")</f>
        <v>-</v>
      </c>
      <c r="G21" s="116" t="str">
        <f>_xlfn.IFNA(VLOOKUP(D21,'Race-calendar'!D:H,4,FALSE),"-")</f>
        <v>-</v>
      </c>
      <c r="H21" s="117"/>
      <c r="I21" s="154" t="s">
        <v>5</v>
      </c>
      <c r="J21" s="157">
        <v>1</v>
      </c>
      <c r="K21" s="156" t="str">
        <f t="shared" si="15"/>
        <v>Peak-1</v>
      </c>
      <c r="L21" s="118"/>
      <c r="M21" s="114"/>
      <c r="N21" s="119">
        <f>VLOOKUP(K21,ATP_Conditions!M:N,2,FALSE)</f>
        <v>480</v>
      </c>
      <c r="O21" s="31">
        <f>SUM(T21,W21,Z21,AC21,AF21,AI21,AL21,AO21)+ATP_Conditions!$C$6</f>
        <v>480</v>
      </c>
      <c r="P21" s="32">
        <f t="shared" ca="1" si="3"/>
        <v>502</v>
      </c>
      <c r="Q21" s="106">
        <f t="shared" si="4"/>
        <v>0</v>
      </c>
      <c r="R21" s="107">
        <f ca="1">P21-$N21</f>
        <v>22</v>
      </c>
      <c r="S21" s="120">
        <f t="shared" si="6"/>
        <v>150</v>
      </c>
      <c r="T21" s="160">
        <v>150</v>
      </c>
      <c r="U21" s="109" cm="1">
        <f t="array" aca="1" ref="U21" ca="1">IF(T$3="None",0,(INDIRECT("TABLE_WTL[@[" &amp; U$4 &amp; "]]")))</f>
        <v>165</v>
      </c>
      <c r="V21" s="120">
        <f t="shared" si="7"/>
        <v>0</v>
      </c>
      <c r="W21" s="160">
        <v>0</v>
      </c>
      <c r="X21" s="109" cm="1">
        <f t="array" aca="1" ref="X21" ca="1">IF(W$3="None",0,(INDIRECT("TABLE_WTL[@[" &amp; X$4 &amp; "]]")))</f>
        <v>0</v>
      </c>
      <c r="Y21" s="120">
        <f t="shared" si="8"/>
        <v>150</v>
      </c>
      <c r="Z21" s="160">
        <v>150</v>
      </c>
      <c r="AA21" s="109" cm="1">
        <f t="array" aca="1" ref="AA21" ca="1">IF(Z$3="None",0,(INDIRECT("TABLE_WTL[@[" &amp; AA$4 &amp; "]]")))</f>
        <v>156</v>
      </c>
      <c r="AB21" s="120">
        <f t="shared" si="9"/>
        <v>150</v>
      </c>
      <c r="AC21" s="160">
        <v>150</v>
      </c>
      <c r="AD21" s="109" cm="1">
        <f t="array" aca="1" ref="AD21" ca="1">IF(AC$3="None",0,(INDIRECT("TABLE_WTL[@[" &amp; AD$4 &amp; "]]")))</f>
        <v>150</v>
      </c>
      <c r="AE21" s="120">
        <f t="shared" si="10"/>
        <v>30</v>
      </c>
      <c r="AF21" s="160">
        <v>30</v>
      </c>
      <c r="AG21" s="109" cm="1">
        <f t="array" aca="1" ref="AG21" ca="1">IF(AF$3="None",0,(INDIRECT("TABLE_WTL[@[" &amp; AG$4 &amp; "]]")))</f>
        <v>31</v>
      </c>
      <c r="AH21" s="120">
        <f t="shared" si="11"/>
        <v>0</v>
      </c>
      <c r="AI21" s="160">
        <v>0</v>
      </c>
      <c r="AJ21" s="109" cm="1">
        <f t="array" aca="1" ref="AJ21" ca="1">IF(AI$3="None",0,(INDIRECT("TABLE_WTL[@[" &amp; AJ$4 &amp; "]]")))</f>
        <v>0</v>
      </c>
      <c r="AK21" s="120">
        <f t="shared" si="12"/>
        <v>0</v>
      </c>
      <c r="AL21" s="160">
        <v>0</v>
      </c>
      <c r="AM21" s="109" cm="1">
        <f t="array" aca="1" ref="AM21" ca="1">IF(AL$3="None",0,(INDIRECT("TABLE_WTL[@[" &amp; AM$4 &amp; "]]")))</f>
        <v>0</v>
      </c>
      <c r="AN21" s="120">
        <f t="shared" si="13"/>
        <v>0</v>
      </c>
      <c r="AO21" s="160">
        <v>0</v>
      </c>
      <c r="AP21" s="109" cm="1">
        <f t="array" aca="1" ref="AP21" ca="1">IF(AO$3="None",0,(INDIRECT("TABLE_WTL[@[" &amp; AP$4 &amp; "]]")))</f>
        <v>0</v>
      </c>
      <c r="AQ21" s="121"/>
      <c r="AR21" s="164"/>
      <c r="AS21" s="168" t="s">
        <v>107</v>
      </c>
      <c r="AT21" s="168"/>
      <c r="AU21" s="168"/>
      <c r="AV21" s="168"/>
      <c r="AW21" s="168"/>
      <c r="AX21" s="169"/>
      <c r="AY21" s="121"/>
      <c r="AZ21" s="191"/>
      <c r="BA21" s="71"/>
      <c r="BB21" s="180"/>
      <c r="BC21" s="181"/>
      <c r="BD21" s="181"/>
      <c r="BE21" s="181"/>
      <c r="BF21" s="181"/>
      <c r="BG21" s="181"/>
      <c r="BH21" s="181"/>
      <c r="BI21" s="182"/>
      <c r="BJ21" s="71"/>
      <c r="BK21" s="111">
        <f>N21/ATP_Conditions!$C$7</f>
        <v>6.8571428571428568</v>
      </c>
    </row>
    <row r="22" spans="1:63" ht="15" thickBot="1" x14ac:dyDescent="0.4">
      <c r="A22" s="31">
        <f t="shared" si="0"/>
        <v>18</v>
      </c>
      <c r="B22" s="112">
        <f t="shared" si="1"/>
        <v>19</v>
      </c>
      <c r="C22" s="113">
        <f t="shared" si="14"/>
        <v>46146</v>
      </c>
      <c r="D22" s="114" t="str">
        <f t="shared" si="2"/>
        <v>19-2026</v>
      </c>
      <c r="E22" s="115" t="str">
        <f>_xlfn.IFNA(VLOOKUP(D22,'Race-calendar'!D:F,2,FALSE),"-")</f>
        <v>Go Triatlon Brouwersdam</v>
      </c>
      <c r="F22" s="112" t="str">
        <f>_xlfn.IFNA(VLOOKUP($D22,'Race-calendar'!$D:$F,3,FALSE),"-")</f>
        <v>A</v>
      </c>
      <c r="G22" s="116">
        <f>_xlfn.IFNA(VLOOKUP(D22,'Race-calendar'!D:H,4,FALSE),"-")</f>
        <v>46151</v>
      </c>
      <c r="H22" s="117"/>
      <c r="I22" s="154" t="s">
        <v>1</v>
      </c>
      <c r="J22" s="157"/>
      <c r="K22" s="156" t="str">
        <f t="shared" si="15"/>
        <v>Race</v>
      </c>
      <c r="L22" s="118"/>
      <c r="M22" s="114"/>
      <c r="N22" s="119">
        <f>VLOOKUP(K22,ATP_Conditions!M:N,2,FALSE)</f>
        <v>400</v>
      </c>
      <c r="O22" s="31">
        <f>SUM(T22,W22,Z22,AC22,AF22,AI22,AL22,AO22)+ATP_Conditions!$C$6</f>
        <v>400</v>
      </c>
      <c r="P22" s="32">
        <f t="shared" ca="1" si="3"/>
        <v>398</v>
      </c>
      <c r="Q22" s="106">
        <f t="shared" si="4"/>
        <v>0</v>
      </c>
      <c r="R22" s="107">
        <f t="shared" ca="1" si="5"/>
        <v>-2</v>
      </c>
      <c r="S22" s="120">
        <f t="shared" si="6"/>
        <v>100</v>
      </c>
      <c r="T22" s="160">
        <v>100</v>
      </c>
      <c r="U22" s="109" cm="1">
        <f t="array" aca="1" ref="U22" ca="1">IF(T$3="None",0,(INDIRECT("TABLE_WTL[@[" &amp; U$4 &amp; "]]")))</f>
        <v>96</v>
      </c>
      <c r="V22" s="120">
        <f t="shared" si="7"/>
        <v>0</v>
      </c>
      <c r="W22" s="160">
        <v>0</v>
      </c>
      <c r="X22" s="109" cm="1">
        <f t="array" aca="1" ref="X22" ca="1">IF(W$3="None",0,(INDIRECT("TABLE_WTL[@[" &amp; X$4 &amp; "]]")))</f>
        <v>0</v>
      </c>
      <c r="Y22" s="120">
        <f t="shared" si="8"/>
        <v>150</v>
      </c>
      <c r="Z22" s="160">
        <v>150</v>
      </c>
      <c r="AA22" s="109" cm="1">
        <f t="array" aca="1" ref="AA22" ca="1">IF(Z$3="None",0,(INDIRECT("TABLE_WTL[@[" &amp; AA$4 &amp; "]]")))</f>
        <v>152</v>
      </c>
      <c r="AB22" s="120">
        <f t="shared" si="9"/>
        <v>150</v>
      </c>
      <c r="AC22" s="160">
        <v>150</v>
      </c>
      <c r="AD22" s="109" cm="1">
        <f t="array" aca="1" ref="AD22" ca="1">IF(AC$3="None",0,(INDIRECT("TABLE_WTL[@[" &amp; AD$4 &amp; "]]")))</f>
        <v>150</v>
      </c>
      <c r="AE22" s="120">
        <f t="shared" si="10"/>
        <v>0</v>
      </c>
      <c r="AF22" s="160">
        <v>0</v>
      </c>
      <c r="AG22" s="109" cm="1">
        <f t="array" aca="1" ref="AG22" ca="1">IF(AF$3="None",0,(INDIRECT("TABLE_WTL[@[" &amp; AG$4 &amp; "]]")))</f>
        <v>0</v>
      </c>
      <c r="AH22" s="120">
        <f t="shared" si="11"/>
        <v>0</v>
      </c>
      <c r="AI22" s="160">
        <v>0</v>
      </c>
      <c r="AJ22" s="109" cm="1">
        <f t="array" aca="1" ref="AJ22" ca="1">IF(AI$3="None",0,(INDIRECT("TABLE_WTL[@[" &amp; AJ$4 &amp; "]]")))</f>
        <v>0</v>
      </c>
      <c r="AK22" s="120">
        <f t="shared" si="12"/>
        <v>0</v>
      </c>
      <c r="AL22" s="160">
        <v>0</v>
      </c>
      <c r="AM22" s="109" cm="1">
        <f t="array" aca="1" ref="AM22" ca="1">IF(AL$3="None",0,(INDIRECT("TABLE_WTL[@[" &amp; AM$4 &amp; "]]")))</f>
        <v>0</v>
      </c>
      <c r="AN22" s="120">
        <f t="shared" si="13"/>
        <v>0</v>
      </c>
      <c r="AO22" s="160">
        <v>0</v>
      </c>
      <c r="AP22" s="109" cm="1">
        <f t="array" aca="1" ref="AP22" ca="1">IF(AO$3="None",0,(INDIRECT("TABLE_WTL[@[" &amp; AP$4 &amp; "]]")))</f>
        <v>0</v>
      </c>
      <c r="AQ22" s="121"/>
      <c r="AR22" s="164"/>
      <c r="AS22" s="168"/>
      <c r="AT22" s="168"/>
      <c r="AU22" s="168"/>
      <c r="AV22" s="168"/>
      <c r="AW22" s="168"/>
      <c r="AX22" s="169"/>
      <c r="AY22" s="121"/>
      <c r="AZ22" s="190"/>
      <c r="BA22" s="71"/>
      <c r="BB22" s="180"/>
      <c r="BC22" s="181"/>
      <c r="BD22" s="181"/>
      <c r="BE22" s="181"/>
      <c r="BF22" s="181"/>
      <c r="BG22" s="181"/>
      <c r="BH22" s="181"/>
      <c r="BI22" s="182"/>
      <c r="BJ22" s="71"/>
      <c r="BK22" s="111">
        <f>N22/ATP_Conditions!$C$7</f>
        <v>5.7142857142857144</v>
      </c>
    </row>
    <row r="23" spans="1:63" ht="15" thickBot="1" x14ac:dyDescent="0.4">
      <c r="A23" s="31">
        <f t="shared" si="0"/>
        <v>19</v>
      </c>
      <c r="B23" s="112">
        <f t="shared" si="1"/>
        <v>20</v>
      </c>
      <c r="C23" s="113">
        <f t="shared" si="14"/>
        <v>46153</v>
      </c>
      <c r="D23" s="114" t="str">
        <f t="shared" si="2"/>
        <v>20-2026</v>
      </c>
      <c r="E23" s="115" t="str">
        <f>_xlfn.IFNA(VLOOKUP(D23,'Race-calendar'!D:F,2,FALSE),"-")</f>
        <v>-</v>
      </c>
      <c r="F23" s="112" t="str">
        <f>_xlfn.IFNA(VLOOKUP($D23,'Race-calendar'!$D:$F,3,FALSE),"-")</f>
        <v>-</v>
      </c>
      <c r="G23" s="116" t="str">
        <f>_xlfn.IFNA(VLOOKUP(D23,'Race-calendar'!D:H,4,FALSE),"-")</f>
        <v>-</v>
      </c>
      <c r="H23" s="117"/>
      <c r="I23" s="154" t="s">
        <v>83</v>
      </c>
      <c r="J23" s="157"/>
      <c r="K23" s="156" t="str">
        <f t="shared" si="15"/>
        <v>Trans</v>
      </c>
      <c r="L23" s="118"/>
      <c r="M23" s="114"/>
      <c r="N23" s="119">
        <f>VLOOKUP(K23,ATP_Conditions!M:N,2,FALSE)</f>
        <v>250</v>
      </c>
      <c r="O23" s="31">
        <f>SUM(T23,W23,Z23,AC23,AF23,AI23,AL23,AO23)+ATP_Conditions!$C$6</f>
        <v>0</v>
      </c>
      <c r="P23" s="32">
        <f t="shared" ca="1" si="3"/>
        <v>285</v>
      </c>
      <c r="Q23" s="106">
        <f t="shared" si="4"/>
        <v>-250</v>
      </c>
      <c r="R23" s="107">
        <f t="shared" ca="1" si="5"/>
        <v>35</v>
      </c>
      <c r="S23" s="120">
        <f t="shared" si="6"/>
        <v>0</v>
      </c>
      <c r="T23" s="160">
        <v>0</v>
      </c>
      <c r="U23" s="109" cm="1">
        <f t="array" aca="1" ref="U23" ca="1">IF(T$3="None",0,(INDIRECT("TABLE_WTL[@[" &amp; U$4 &amp; "]]")))</f>
        <v>35</v>
      </c>
      <c r="V23" s="120">
        <f t="shared" si="7"/>
        <v>0</v>
      </c>
      <c r="W23" s="160">
        <v>0</v>
      </c>
      <c r="X23" s="109" cm="1">
        <f t="array" aca="1" ref="X23" ca="1">IF(W$3="None",0,(INDIRECT("TABLE_WTL[@[" &amp; X$4 &amp; "]]")))</f>
        <v>0</v>
      </c>
      <c r="Y23" s="120">
        <f t="shared" si="8"/>
        <v>0</v>
      </c>
      <c r="Z23" s="160">
        <v>0</v>
      </c>
      <c r="AA23" s="109" cm="1">
        <f t="array" aca="1" ref="AA23" ca="1">IF(Z$3="None",0,(INDIRECT("TABLE_WTL[@[" &amp; AA$4 &amp; "]]")))</f>
        <v>100</v>
      </c>
      <c r="AB23" s="120">
        <f t="shared" si="9"/>
        <v>0</v>
      </c>
      <c r="AC23" s="160">
        <v>0</v>
      </c>
      <c r="AD23" s="109" cm="1">
        <f t="array" aca="1" ref="AD23" ca="1">IF(AC$3="None",0,(INDIRECT("TABLE_WTL[@[" &amp; AD$4 &amp; "]]")))</f>
        <v>150</v>
      </c>
      <c r="AE23" s="120">
        <f t="shared" si="10"/>
        <v>0</v>
      </c>
      <c r="AF23" s="160">
        <v>0</v>
      </c>
      <c r="AG23" s="109" cm="1">
        <f t="array" aca="1" ref="AG23" ca="1">IF(AF$3="None",0,(INDIRECT("TABLE_WTL[@[" &amp; AG$4 &amp; "]]")))</f>
        <v>0</v>
      </c>
      <c r="AH23" s="120">
        <f t="shared" si="11"/>
        <v>0</v>
      </c>
      <c r="AI23" s="160">
        <v>0</v>
      </c>
      <c r="AJ23" s="109" cm="1">
        <f t="array" aca="1" ref="AJ23" ca="1">IF(AI$3="None",0,(INDIRECT("TABLE_WTL[@[" &amp; AJ$4 &amp; "]]")))</f>
        <v>0</v>
      </c>
      <c r="AK23" s="120">
        <f t="shared" si="12"/>
        <v>0</v>
      </c>
      <c r="AL23" s="160">
        <v>0</v>
      </c>
      <c r="AM23" s="109" cm="1">
        <f t="array" aca="1" ref="AM23" ca="1">IF(AL$3="None",0,(INDIRECT("TABLE_WTL[@[" &amp; AM$4 &amp; "]]")))</f>
        <v>0</v>
      </c>
      <c r="AN23" s="120">
        <f t="shared" si="13"/>
        <v>0</v>
      </c>
      <c r="AO23" s="160">
        <v>0</v>
      </c>
      <c r="AP23" s="109" cm="1">
        <f t="array" aca="1" ref="AP23" ca="1">IF(AO$3="None",0,(INDIRECT("TABLE_WTL[@[" &amp; AP$4 &amp; "]]")))</f>
        <v>0</v>
      </c>
      <c r="AQ23" s="121"/>
      <c r="AR23" s="164"/>
      <c r="AS23" s="168"/>
      <c r="AT23" s="168"/>
      <c r="AU23" s="170"/>
      <c r="AV23" s="168"/>
      <c r="AW23" s="168"/>
      <c r="AX23" s="169"/>
      <c r="AY23" s="121"/>
      <c r="AZ23" s="190"/>
      <c r="BA23" s="71"/>
      <c r="BB23" s="180"/>
      <c r="BC23" s="181"/>
      <c r="BD23" s="181"/>
      <c r="BE23" s="181"/>
      <c r="BF23" s="181"/>
      <c r="BG23" s="181"/>
      <c r="BH23" s="181"/>
      <c r="BI23" s="182"/>
      <c r="BJ23" s="71"/>
      <c r="BK23" s="111">
        <f>N23/ATP_Conditions!$C$7</f>
        <v>3.5714285714285716</v>
      </c>
    </row>
    <row r="24" spans="1:63" ht="15" thickBot="1" x14ac:dyDescent="0.4">
      <c r="A24" s="31">
        <f t="shared" si="0"/>
        <v>20</v>
      </c>
      <c r="B24" s="112">
        <f t="shared" si="1"/>
        <v>21</v>
      </c>
      <c r="C24" s="113">
        <f t="shared" si="14"/>
        <v>46160</v>
      </c>
      <c r="D24" s="114" t="str">
        <f t="shared" si="2"/>
        <v>21-2026</v>
      </c>
      <c r="E24" s="115" t="str">
        <f>_xlfn.IFNA(VLOOKUP(D24,'Race-calendar'!D:F,2,FALSE),"-")</f>
        <v>-</v>
      </c>
      <c r="F24" s="112" t="str">
        <f>_xlfn.IFNA(VLOOKUP($D24,'Race-calendar'!$D:$F,3,FALSE),"-")</f>
        <v>-</v>
      </c>
      <c r="G24" s="116" t="str">
        <f>_xlfn.IFNA(VLOOKUP(D24,'Race-calendar'!D:H,4,FALSE),"-")</f>
        <v>-</v>
      </c>
      <c r="H24" s="117"/>
      <c r="I24" s="154" t="s">
        <v>83</v>
      </c>
      <c r="J24" s="157"/>
      <c r="K24" s="156" t="str">
        <f t="shared" si="15"/>
        <v>Trans</v>
      </c>
      <c r="L24" s="118"/>
      <c r="M24" s="114"/>
      <c r="N24" s="119">
        <f>VLOOKUP(K24,ATP_Conditions!M:N,2,FALSE)</f>
        <v>250</v>
      </c>
      <c r="O24" s="31">
        <f>SUM(T24,W24,Z24,AC24,AF24,AI24,AL24,AO24)+ATP_Conditions!$C$6</f>
        <v>0</v>
      </c>
      <c r="P24" s="32">
        <f t="shared" ca="1" si="3"/>
        <v>285</v>
      </c>
      <c r="Q24" s="106">
        <f t="shared" si="4"/>
        <v>-250</v>
      </c>
      <c r="R24" s="107">
        <f t="shared" ca="1" si="5"/>
        <v>35</v>
      </c>
      <c r="S24" s="120">
        <f t="shared" si="6"/>
        <v>0</v>
      </c>
      <c r="T24" s="160">
        <v>0</v>
      </c>
      <c r="U24" s="109" cm="1">
        <f t="array" aca="1" ref="U24" ca="1">IF(T$3="None",0,(INDIRECT("TABLE_WTL[@[" &amp; U$4 &amp; "]]")))</f>
        <v>35</v>
      </c>
      <c r="V24" s="120">
        <f t="shared" si="7"/>
        <v>0</v>
      </c>
      <c r="W24" s="160">
        <v>0</v>
      </c>
      <c r="X24" s="109" cm="1">
        <f t="array" aca="1" ref="X24" ca="1">IF(W$3="None",0,(INDIRECT("TABLE_WTL[@[" &amp; X$4 &amp; "]]")))</f>
        <v>0</v>
      </c>
      <c r="Y24" s="120">
        <f t="shared" si="8"/>
        <v>0</v>
      </c>
      <c r="Z24" s="160">
        <v>0</v>
      </c>
      <c r="AA24" s="109" cm="1">
        <f t="array" aca="1" ref="AA24" ca="1">IF(Z$3="None",0,(INDIRECT("TABLE_WTL[@[" &amp; AA$4 &amp; "]]")))</f>
        <v>100</v>
      </c>
      <c r="AB24" s="120">
        <f t="shared" si="9"/>
        <v>0</v>
      </c>
      <c r="AC24" s="160">
        <v>0</v>
      </c>
      <c r="AD24" s="109" cm="1">
        <f t="array" aca="1" ref="AD24" ca="1">IF(AC$3="None",0,(INDIRECT("TABLE_WTL[@[" &amp; AD$4 &amp; "]]")))</f>
        <v>150</v>
      </c>
      <c r="AE24" s="120">
        <f t="shared" si="10"/>
        <v>0</v>
      </c>
      <c r="AF24" s="160">
        <v>0</v>
      </c>
      <c r="AG24" s="109" cm="1">
        <f t="array" aca="1" ref="AG24" ca="1">IF(AF$3="None",0,(INDIRECT("TABLE_WTL[@[" &amp; AG$4 &amp; "]]")))</f>
        <v>0</v>
      </c>
      <c r="AH24" s="120">
        <f t="shared" si="11"/>
        <v>0</v>
      </c>
      <c r="AI24" s="160">
        <v>0</v>
      </c>
      <c r="AJ24" s="109" cm="1">
        <f t="array" aca="1" ref="AJ24" ca="1">IF(AI$3="None",0,(INDIRECT("TABLE_WTL[@[" &amp; AJ$4 &amp; "]]")))</f>
        <v>0</v>
      </c>
      <c r="AK24" s="120">
        <f t="shared" si="12"/>
        <v>0</v>
      </c>
      <c r="AL24" s="160">
        <v>0</v>
      </c>
      <c r="AM24" s="109" cm="1">
        <f t="array" aca="1" ref="AM24" ca="1">IF(AL$3="None",0,(INDIRECT("TABLE_WTL[@[" &amp; AM$4 &amp; "]]")))</f>
        <v>0</v>
      </c>
      <c r="AN24" s="120">
        <f t="shared" si="13"/>
        <v>0</v>
      </c>
      <c r="AO24" s="160">
        <v>0</v>
      </c>
      <c r="AP24" s="109" cm="1">
        <f t="array" aca="1" ref="AP24" ca="1">IF(AO$3="None",0,(INDIRECT("TABLE_WTL[@[" &amp; AP$4 &amp; "]]")))</f>
        <v>0</v>
      </c>
      <c r="AQ24" s="121"/>
      <c r="AR24" s="164"/>
      <c r="AS24" s="168"/>
      <c r="AT24" s="168"/>
      <c r="AU24" s="168"/>
      <c r="AV24" s="168"/>
      <c r="AW24" s="168"/>
      <c r="AX24" s="169"/>
      <c r="AY24" s="121"/>
      <c r="AZ24" s="190"/>
      <c r="BA24" s="71"/>
      <c r="BB24" s="180"/>
      <c r="BC24" s="181"/>
      <c r="BD24" s="181"/>
      <c r="BE24" s="181"/>
      <c r="BF24" s="181"/>
      <c r="BG24" s="181"/>
      <c r="BH24" s="181"/>
      <c r="BI24" s="182"/>
      <c r="BJ24" s="71"/>
      <c r="BK24" s="111">
        <f>N24/ATP_Conditions!$C$7</f>
        <v>3.5714285714285716</v>
      </c>
    </row>
    <row r="25" spans="1:63" ht="15" thickBot="1" x14ac:dyDescent="0.4">
      <c r="A25" s="31">
        <f t="shared" si="0"/>
        <v>21</v>
      </c>
      <c r="B25" s="112">
        <f t="shared" si="1"/>
        <v>22</v>
      </c>
      <c r="C25" s="113">
        <f t="shared" si="14"/>
        <v>46167</v>
      </c>
      <c r="D25" s="114" t="str">
        <f t="shared" si="2"/>
        <v>22-2026</v>
      </c>
      <c r="E25" s="115" t="str">
        <f>_xlfn.IFNA(VLOOKUP(D25,'Race-calendar'!D:F,2,FALSE),"-")</f>
        <v>-</v>
      </c>
      <c r="F25" s="112" t="str">
        <f>_xlfn.IFNA(VLOOKUP($D25,'Race-calendar'!$D:$F,3,FALSE),"-")</f>
        <v>-</v>
      </c>
      <c r="G25" s="116" t="str">
        <f>_xlfn.IFNA(VLOOKUP(D25,'Race-calendar'!D:H,4,FALSE),"-")</f>
        <v>-</v>
      </c>
      <c r="H25" s="117"/>
      <c r="I25" s="154" t="s">
        <v>79</v>
      </c>
      <c r="J25" s="157" t="s">
        <v>107</v>
      </c>
      <c r="K25" s="156" t="str">
        <f t="shared" si="15"/>
        <v>Build 1-1</v>
      </c>
      <c r="L25" s="118"/>
      <c r="M25" s="114"/>
      <c r="N25" s="119">
        <f>VLOOKUP(K25,ATP_Conditions!M:N,2,FALSE)</f>
        <v>620</v>
      </c>
      <c r="O25" s="31">
        <f>SUM(T25,W25,Z25,AC25,AF25,AI25,AL25,AO25)+ATP_Conditions!$C$6</f>
        <v>0</v>
      </c>
      <c r="P25" s="32">
        <f t="shared" ca="1" si="3"/>
        <v>285</v>
      </c>
      <c r="Q25" s="106">
        <f t="shared" si="4"/>
        <v>-620</v>
      </c>
      <c r="R25" s="107">
        <f t="shared" ca="1" si="5"/>
        <v>-335</v>
      </c>
      <c r="S25" s="120">
        <f t="shared" si="6"/>
        <v>0</v>
      </c>
      <c r="T25" s="160">
        <v>0</v>
      </c>
      <c r="U25" s="109" cm="1">
        <f t="array" aca="1" ref="U25" ca="1">IF(T$3="None",0,(INDIRECT("TABLE_WTL[@[" &amp; U$4 &amp; "]]")))</f>
        <v>35</v>
      </c>
      <c r="V25" s="120">
        <f t="shared" si="7"/>
        <v>0</v>
      </c>
      <c r="W25" s="160">
        <v>0</v>
      </c>
      <c r="X25" s="109" cm="1">
        <f t="array" aca="1" ref="X25" ca="1">IF(W$3="None",0,(INDIRECT("TABLE_WTL[@[" &amp; X$4 &amp; "]]")))</f>
        <v>0</v>
      </c>
      <c r="Y25" s="120">
        <f t="shared" si="8"/>
        <v>0</v>
      </c>
      <c r="Z25" s="160">
        <v>0</v>
      </c>
      <c r="AA25" s="109" cm="1">
        <f t="array" aca="1" ref="AA25" ca="1">IF(Z$3="None",0,(INDIRECT("TABLE_WTL[@[" &amp; AA$4 &amp; "]]")))</f>
        <v>100</v>
      </c>
      <c r="AB25" s="120">
        <f t="shared" si="9"/>
        <v>0</v>
      </c>
      <c r="AC25" s="160">
        <v>0</v>
      </c>
      <c r="AD25" s="109" cm="1">
        <f t="array" aca="1" ref="AD25" ca="1">IF(AC$3="None",0,(INDIRECT("TABLE_WTL[@[" &amp; AD$4 &amp; "]]")))</f>
        <v>150</v>
      </c>
      <c r="AE25" s="120">
        <f t="shared" si="10"/>
        <v>0</v>
      </c>
      <c r="AF25" s="160">
        <v>0</v>
      </c>
      <c r="AG25" s="109" cm="1">
        <f t="array" aca="1" ref="AG25" ca="1">IF(AF$3="None",0,(INDIRECT("TABLE_WTL[@[" &amp; AG$4 &amp; "]]")))</f>
        <v>0</v>
      </c>
      <c r="AH25" s="120">
        <f t="shared" si="11"/>
        <v>0</v>
      </c>
      <c r="AI25" s="160">
        <v>0</v>
      </c>
      <c r="AJ25" s="109" cm="1">
        <f t="array" aca="1" ref="AJ25" ca="1">IF(AI$3="None",0,(INDIRECT("TABLE_WTL[@[" &amp; AJ$4 &amp; "]]")))</f>
        <v>0</v>
      </c>
      <c r="AK25" s="120">
        <f t="shared" si="12"/>
        <v>0</v>
      </c>
      <c r="AL25" s="160">
        <v>0</v>
      </c>
      <c r="AM25" s="109" cm="1">
        <f t="array" aca="1" ref="AM25" ca="1">IF(AL$3="None",0,(INDIRECT("TABLE_WTL[@[" &amp; AM$4 &amp; "]]")))</f>
        <v>0</v>
      </c>
      <c r="AN25" s="120">
        <f t="shared" si="13"/>
        <v>0</v>
      </c>
      <c r="AO25" s="160">
        <v>0</v>
      </c>
      <c r="AP25" s="109" cm="1">
        <f t="array" aca="1" ref="AP25" ca="1">IF(AO$3="None",0,(INDIRECT("TABLE_WTL[@[" &amp; AP$4 &amp; "]]")))</f>
        <v>0</v>
      </c>
      <c r="AQ25" s="121"/>
      <c r="AR25" s="164"/>
      <c r="AS25" s="168"/>
      <c r="AT25" s="168"/>
      <c r="AU25" s="168"/>
      <c r="AV25" s="168"/>
      <c r="AW25" s="168"/>
      <c r="AX25" s="169"/>
      <c r="AY25" s="121"/>
      <c r="AZ25" s="190"/>
      <c r="BA25" s="71"/>
      <c r="BB25" s="180"/>
      <c r="BC25" s="181"/>
      <c r="BD25" s="181"/>
      <c r="BE25" s="181"/>
      <c r="BF25" s="181"/>
      <c r="BG25" s="181"/>
      <c r="BH25" s="181"/>
      <c r="BI25" s="182"/>
      <c r="BJ25" s="71"/>
      <c r="BK25" s="111">
        <f>N25/ATP_Conditions!$C$7</f>
        <v>8.8571428571428577</v>
      </c>
    </row>
    <row r="26" spans="1:63" s="134" customFormat="1" ht="15" thickBot="1" x14ac:dyDescent="0.4">
      <c r="A26" s="123">
        <f t="shared" si="0"/>
        <v>22</v>
      </c>
      <c r="B26" s="124">
        <f t="shared" si="1"/>
        <v>23</v>
      </c>
      <c r="C26" s="125">
        <f t="shared" si="14"/>
        <v>46174</v>
      </c>
      <c r="D26" s="126" t="str">
        <f t="shared" si="2"/>
        <v>23-2026</v>
      </c>
      <c r="E26" s="127" t="str">
        <f>_xlfn.IFNA(VLOOKUP(D26,'Race-calendar'!D:F,2,FALSE),"-")</f>
        <v>Uilentorenloop</v>
      </c>
      <c r="F26" s="124" t="s">
        <v>3</v>
      </c>
      <c r="G26" s="128">
        <f>_xlfn.IFNA(VLOOKUP(D26,'Race-calendar'!D:H,4,FALSE),"-")</f>
        <v>46179</v>
      </c>
      <c r="H26" s="129"/>
      <c r="I26" s="154" t="s">
        <v>79</v>
      </c>
      <c r="J26" s="157" t="s">
        <v>108</v>
      </c>
      <c r="K26" s="156" t="str">
        <f t="shared" si="15"/>
        <v>Build 1-2</v>
      </c>
      <c r="L26" s="130"/>
      <c r="M26" s="126"/>
      <c r="N26" s="119">
        <f>VLOOKUP(K26,ATP_Conditions!M:N,2,FALSE)</f>
        <v>620</v>
      </c>
      <c r="O26" s="31">
        <f>SUM(T26,W26,Z26,AC26,AF26,AI26,AL26,AO26)+ATP_Conditions!$C$6</f>
        <v>0</v>
      </c>
      <c r="P26" s="32">
        <f t="shared" ca="1" si="3"/>
        <v>135</v>
      </c>
      <c r="Q26" s="106">
        <f t="shared" si="4"/>
        <v>-620</v>
      </c>
      <c r="R26" s="107">
        <f t="shared" ca="1" si="5"/>
        <v>-485</v>
      </c>
      <c r="S26" s="131">
        <f t="shared" si="6"/>
        <v>0</v>
      </c>
      <c r="T26" s="160">
        <v>0</v>
      </c>
      <c r="U26" s="109" cm="1">
        <f t="array" aca="1" ref="U26" ca="1">IF(T$3="None",0,(INDIRECT("TABLE_WTL[@[" &amp; U$4 &amp; "]]")))</f>
        <v>35</v>
      </c>
      <c r="V26" s="131">
        <f t="shared" si="7"/>
        <v>0</v>
      </c>
      <c r="W26" s="160">
        <v>0</v>
      </c>
      <c r="X26" s="109" cm="1">
        <f t="array" aca="1" ref="X26" ca="1">IF(W$3="None",0,(INDIRECT("TABLE_WTL[@[" &amp; X$4 &amp; "]]")))</f>
        <v>0</v>
      </c>
      <c r="Y26" s="131">
        <f t="shared" si="8"/>
        <v>0</v>
      </c>
      <c r="Z26" s="162">
        <v>0</v>
      </c>
      <c r="AA26" s="109" cm="1">
        <f t="array" aca="1" ref="AA26" ca="1">IF(Z$3="None",0,(INDIRECT("TABLE_WTL[@[" &amp; AA$4 &amp; "]]")))</f>
        <v>100</v>
      </c>
      <c r="AB26" s="131">
        <f t="shared" si="9"/>
        <v>0</v>
      </c>
      <c r="AC26" s="160">
        <v>0</v>
      </c>
      <c r="AD26" s="109" cm="1">
        <f t="array" aca="1" ref="AD26" ca="1">IF(AC$3="None",0,(INDIRECT("TABLE_WTL[@[" &amp; AD$4 &amp; "]]")))</f>
        <v>0</v>
      </c>
      <c r="AE26" s="131">
        <f t="shared" si="10"/>
        <v>0</v>
      </c>
      <c r="AF26" s="160">
        <v>0</v>
      </c>
      <c r="AG26" s="109" cm="1">
        <f t="array" aca="1" ref="AG26" ca="1">IF(AF$3="None",0,(INDIRECT("TABLE_WTL[@[" &amp; AG$4 &amp; "]]")))</f>
        <v>0</v>
      </c>
      <c r="AH26" s="131">
        <f t="shared" si="11"/>
        <v>0</v>
      </c>
      <c r="AI26" s="164">
        <v>0</v>
      </c>
      <c r="AJ26" s="109" cm="1">
        <f t="array" aca="1" ref="AJ26" ca="1">IF(AI$3="None",0,(INDIRECT("TABLE_WTL[@[" &amp; AJ$4 &amp; "]]")))</f>
        <v>0</v>
      </c>
      <c r="AK26" s="131">
        <f t="shared" si="12"/>
        <v>0</v>
      </c>
      <c r="AL26" s="160">
        <v>0</v>
      </c>
      <c r="AM26" s="109" cm="1">
        <f t="array" aca="1" ref="AM26" ca="1">IF(AL$3="None",0,(INDIRECT("TABLE_WTL[@[" &amp; AM$4 &amp; "]]")))</f>
        <v>0</v>
      </c>
      <c r="AN26" s="131">
        <f t="shared" si="13"/>
        <v>0</v>
      </c>
      <c r="AO26" s="160">
        <v>0</v>
      </c>
      <c r="AP26" s="109" cm="1">
        <f t="array" aca="1" ref="AP26" ca="1">IF(AO$3="None",0,(INDIRECT("TABLE_WTL[@[" &amp; AP$4 &amp; "]]")))</f>
        <v>0</v>
      </c>
      <c r="AQ26" s="132"/>
      <c r="AR26" s="171"/>
      <c r="AS26" s="172"/>
      <c r="AT26" s="172"/>
      <c r="AU26" s="172"/>
      <c r="AV26" s="172"/>
      <c r="AW26" s="172"/>
      <c r="AX26" s="173"/>
      <c r="AY26" s="132"/>
      <c r="AZ26" s="191"/>
      <c r="BA26" s="133"/>
      <c r="BB26" s="183"/>
      <c r="BC26" s="184"/>
      <c r="BD26" s="184"/>
      <c r="BE26" s="184"/>
      <c r="BF26" s="184"/>
      <c r="BG26" s="184"/>
      <c r="BH26" s="184"/>
      <c r="BI26" s="185"/>
      <c r="BJ26" s="133"/>
      <c r="BK26" s="111">
        <f>N26/ATP_Conditions!$C$7</f>
        <v>8.8571428571428577</v>
      </c>
    </row>
    <row r="27" spans="1:63" ht="15" thickBot="1" x14ac:dyDescent="0.4">
      <c r="A27" s="31">
        <f t="shared" si="0"/>
        <v>23</v>
      </c>
      <c r="B27" s="112">
        <f t="shared" si="1"/>
        <v>24</v>
      </c>
      <c r="C27" s="113">
        <f t="shared" si="14"/>
        <v>46181</v>
      </c>
      <c r="D27" s="114" t="str">
        <f t="shared" si="2"/>
        <v>24-2026</v>
      </c>
      <c r="E27" s="115" t="str">
        <f>_xlfn.IFNA(VLOOKUP(D27,'Race-calendar'!D:F,2,FALSE),"-")</f>
        <v>-</v>
      </c>
      <c r="F27" s="112" t="str">
        <f>_xlfn.IFNA(VLOOKUP($D27,'Race-calendar'!$D:$F,3,FALSE),"-")</f>
        <v>-</v>
      </c>
      <c r="G27" s="116" t="str">
        <f>_xlfn.IFNA(VLOOKUP(D27,'Race-calendar'!D:H,4,FALSE),"-")</f>
        <v>-</v>
      </c>
      <c r="H27" s="117"/>
      <c r="I27" s="154" t="s">
        <v>79</v>
      </c>
      <c r="J27" s="157" t="s">
        <v>110</v>
      </c>
      <c r="K27" s="156" t="str">
        <f t="shared" si="15"/>
        <v>Build 1-4</v>
      </c>
      <c r="L27" s="118"/>
      <c r="M27" s="114"/>
      <c r="N27" s="119">
        <f>VLOOKUP(K27,ATP_Conditions!M:N,2,FALSE)</f>
        <v>400</v>
      </c>
      <c r="O27" s="31">
        <f>SUM(T27,W27,Z27,AC27,AF27,AI27,AL27,AO27)+ATP_Conditions!$C$6</f>
        <v>0</v>
      </c>
      <c r="P27" s="32">
        <f t="shared" ca="1" si="3"/>
        <v>285</v>
      </c>
      <c r="Q27" s="106">
        <f t="shared" si="4"/>
        <v>-400</v>
      </c>
      <c r="R27" s="107">
        <f t="shared" ca="1" si="5"/>
        <v>-115</v>
      </c>
      <c r="S27" s="120">
        <f t="shared" si="6"/>
        <v>0</v>
      </c>
      <c r="T27" s="160">
        <v>0</v>
      </c>
      <c r="U27" s="109" cm="1">
        <f t="array" aca="1" ref="U27" ca="1">IF(T$3="None",0,(INDIRECT("TABLE_WTL[@[" &amp; U$4 &amp; "]]")))</f>
        <v>35</v>
      </c>
      <c r="V27" s="120">
        <f t="shared" si="7"/>
        <v>0</v>
      </c>
      <c r="W27" s="160">
        <v>0</v>
      </c>
      <c r="X27" s="109" cm="1">
        <f t="array" aca="1" ref="X27" ca="1">IF(W$3="None",0,(INDIRECT("TABLE_WTL[@[" &amp; X$4 &amp; "]]")))</f>
        <v>0</v>
      </c>
      <c r="Y27" s="120">
        <f t="shared" si="8"/>
        <v>0</v>
      </c>
      <c r="Z27" s="160">
        <v>0</v>
      </c>
      <c r="AA27" s="109" cm="1">
        <f t="array" aca="1" ref="AA27" ca="1">IF(Z$3="None",0,(INDIRECT("TABLE_WTL[@[" &amp; AA$4 &amp; "]]")))</f>
        <v>100</v>
      </c>
      <c r="AB27" s="120">
        <f t="shared" si="9"/>
        <v>0</v>
      </c>
      <c r="AC27" s="160">
        <v>0</v>
      </c>
      <c r="AD27" s="109" cm="1">
        <f t="array" aca="1" ref="AD27" ca="1">IF(AC$3="None",0,(INDIRECT("TABLE_WTL[@[" &amp; AD$4 &amp; "]]")))</f>
        <v>150</v>
      </c>
      <c r="AE27" s="120">
        <f t="shared" si="10"/>
        <v>0</v>
      </c>
      <c r="AF27" s="160">
        <v>0</v>
      </c>
      <c r="AG27" s="109" cm="1">
        <f t="array" aca="1" ref="AG27" ca="1">IF(AF$3="None",0,(INDIRECT("TABLE_WTL[@[" &amp; AG$4 &amp; "]]")))</f>
        <v>0</v>
      </c>
      <c r="AH27" s="120">
        <f t="shared" si="11"/>
        <v>0</v>
      </c>
      <c r="AI27" s="160">
        <v>0</v>
      </c>
      <c r="AJ27" s="109" cm="1">
        <f t="array" aca="1" ref="AJ27" ca="1">IF(AI$3="None",0,(INDIRECT("TABLE_WTL[@[" &amp; AJ$4 &amp; "]]")))</f>
        <v>0</v>
      </c>
      <c r="AK27" s="120">
        <f t="shared" si="12"/>
        <v>0</v>
      </c>
      <c r="AL27" s="160">
        <v>0</v>
      </c>
      <c r="AM27" s="109" cm="1">
        <f t="array" aca="1" ref="AM27" ca="1">IF(AL$3="None",0,(INDIRECT("TABLE_WTL[@[" &amp; AM$4 &amp; "]]")))</f>
        <v>0</v>
      </c>
      <c r="AN27" s="120">
        <f t="shared" si="13"/>
        <v>0</v>
      </c>
      <c r="AO27" s="160">
        <v>0</v>
      </c>
      <c r="AP27" s="109" cm="1">
        <f t="array" aca="1" ref="AP27" ca="1">IF(AO$3="None",0,(INDIRECT("TABLE_WTL[@[" &amp; AP$4 &amp; "]]")))</f>
        <v>0</v>
      </c>
      <c r="AQ27" s="121"/>
      <c r="AR27" s="164"/>
      <c r="AS27" s="168"/>
      <c r="AT27" s="168"/>
      <c r="AU27" s="168"/>
      <c r="AV27" s="168"/>
      <c r="AW27" s="168"/>
      <c r="AX27" s="169"/>
      <c r="AY27" s="121"/>
      <c r="AZ27" s="190"/>
      <c r="BA27" s="71"/>
      <c r="BB27" s="180"/>
      <c r="BC27" s="181"/>
      <c r="BD27" s="181"/>
      <c r="BE27" s="181"/>
      <c r="BF27" s="181"/>
      <c r="BG27" s="181"/>
      <c r="BH27" s="181"/>
      <c r="BI27" s="182"/>
      <c r="BJ27" s="71"/>
      <c r="BK27" s="111">
        <f>N27/ATP_Conditions!$C$7</f>
        <v>5.7142857142857144</v>
      </c>
    </row>
    <row r="28" spans="1:63" ht="15" thickBot="1" x14ac:dyDescent="0.4">
      <c r="A28" s="31">
        <f t="shared" si="0"/>
        <v>24</v>
      </c>
      <c r="B28" s="112">
        <f t="shared" si="1"/>
        <v>25</v>
      </c>
      <c r="C28" s="113">
        <f t="shared" si="14"/>
        <v>46188</v>
      </c>
      <c r="D28" s="114" t="str">
        <f t="shared" si="2"/>
        <v>25-2026</v>
      </c>
      <c r="E28" s="115" t="str">
        <f>_xlfn.IFNA(VLOOKUP(D28,'Race-calendar'!D:F,2,FALSE),"-")</f>
        <v>-</v>
      </c>
      <c r="F28" s="112" t="str">
        <f>_xlfn.IFNA(VLOOKUP($D28,'Race-calendar'!$D:$F,3,FALSE),"-")</f>
        <v>-</v>
      </c>
      <c r="G28" s="116" t="str">
        <f>_xlfn.IFNA(VLOOKUP(D28,'Race-calendar'!D:H,4,FALSE),"-")</f>
        <v>-</v>
      </c>
      <c r="H28" s="117"/>
      <c r="I28" s="154" t="s">
        <v>80</v>
      </c>
      <c r="J28" s="157" t="s">
        <v>107</v>
      </c>
      <c r="K28" s="156" t="str">
        <f t="shared" si="15"/>
        <v>Build 2-1</v>
      </c>
      <c r="L28" s="118"/>
      <c r="M28" s="114"/>
      <c r="N28" s="119">
        <f>VLOOKUP(K28,ATP_Conditions!M:N,2,FALSE)</f>
        <v>680</v>
      </c>
      <c r="O28" s="31">
        <f>SUM(T28,W28,Z28,AC28,AF28,AI28,AL28,AO28)+ATP_Conditions!$C$6</f>
        <v>0</v>
      </c>
      <c r="P28" s="32">
        <f t="shared" ca="1" si="3"/>
        <v>285</v>
      </c>
      <c r="Q28" s="106">
        <f t="shared" si="4"/>
        <v>-680</v>
      </c>
      <c r="R28" s="107">
        <f t="shared" ca="1" si="5"/>
        <v>-395</v>
      </c>
      <c r="S28" s="120">
        <f t="shared" si="6"/>
        <v>0</v>
      </c>
      <c r="T28" s="160">
        <v>0</v>
      </c>
      <c r="U28" s="109" cm="1">
        <f t="array" aca="1" ref="U28" ca="1">IF(T$3="None",0,(INDIRECT("TABLE_WTL[@[" &amp; U$4 &amp; "]]")))</f>
        <v>35</v>
      </c>
      <c r="V28" s="120">
        <f t="shared" si="7"/>
        <v>0</v>
      </c>
      <c r="W28" s="160">
        <v>0</v>
      </c>
      <c r="X28" s="109" cm="1">
        <f t="array" aca="1" ref="X28" ca="1">IF(W$3="None",0,(INDIRECT("TABLE_WTL[@[" &amp; X$4 &amp; "]]")))</f>
        <v>0</v>
      </c>
      <c r="Y28" s="120">
        <f t="shared" si="8"/>
        <v>0</v>
      </c>
      <c r="Z28" s="160">
        <v>0</v>
      </c>
      <c r="AA28" s="109" cm="1">
        <f t="array" aca="1" ref="AA28" ca="1">IF(Z$3="None",0,(INDIRECT("TABLE_WTL[@[" &amp; AA$4 &amp; "]]")))</f>
        <v>100</v>
      </c>
      <c r="AB28" s="120">
        <f t="shared" si="9"/>
        <v>0</v>
      </c>
      <c r="AC28" s="160">
        <v>0</v>
      </c>
      <c r="AD28" s="109" cm="1">
        <f t="array" aca="1" ref="AD28" ca="1">IF(AC$3="None",0,(INDIRECT("TABLE_WTL[@[" &amp; AD$4 &amp; "]]")))</f>
        <v>150</v>
      </c>
      <c r="AE28" s="120">
        <f t="shared" si="10"/>
        <v>0</v>
      </c>
      <c r="AF28" s="160">
        <v>0</v>
      </c>
      <c r="AG28" s="109" cm="1">
        <f t="array" aca="1" ref="AG28" ca="1">IF(AF$3="None",0,(INDIRECT("TABLE_WTL[@[" &amp; AG$4 &amp; "]]")))</f>
        <v>0</v>
      </c>
      <c r="AH28" s="120">
        <f t="shared" si="11"/>
        <v>0</v>
      </c>
      <c r="AI28" s="160">
        <v>0</v>
      </c>
      <c r="AJ28" s="109" cm="1">
        <f t="array" aca="1" ref="AJ28" ca="1">IF(AI$3="None",0,(INDIRECT("TABLE_WTL[@[" &amp; AJ$4 &amp; "]]")))</f>
        <v>0</v>
      </c>
      <c r="AK28" s="120">
        <f t="shared" si="12"/>
        <v>0</v>
      </c>
      <c r="AL28" s="160">
        <v>0</v>
      </c>
      <c r="AM28" s="109" cm="1">
        <f t="array" aca="1" ref="AM28" ca="1">IF(AL$3="None",0,(INDIRECT("TABLE_WTL[@[" &amp; AM$4 &amp; "]]")))</f>
        <v>0</v>
      </c>
      <c r="AN28" s="120">
        <f t="shared" si="13"/>
        <v>0</v>
      </c>
      <c r="AO28" s="160">
        <v>0</v>
      </c>
      <c r="AP28" s="109" cm="1">
        <f t="array" aca="1" ref="AP28" ca="1">IF(AO$3="None",0,(INDIRECT("TABLE_WTL[@[" &amp; AP$4 &amp; "]]")))</f>
        <v>0</v>
      </c>
      <c r="AQ28" s="121"/>
      <c r="AR28" s="164"/>
      <c r="AS28" s="168"/>
      <c r="AT28" s="168"/>
      <c r="AU28" s="168"/>
      <c r="AV28" s="168"/>
      <c r="AW28" s="168"/>
      <c r="AX28" s="169"/>
      <c r="AY28" s="121"/>
      <c r="AZ28" s="190"/>
      <c r="BA28" s="71"/>
      <c r="BB28" s="180"/>
      <c r="BC28" s="181"/>
      <c r="BD28" s="181"/>
      <c r="BE28" s="181"/>
      <c r="BF28" s="181"/>
      <c r="BG28" s="181"/>
      <c r="BH28" s="181"/>
      <c r="BI28" s="182"/>
      <c r="BJ28" s="71"/>
      <c r="BK28" s="111">
        <f>N28/ATP_Conditions!$C$7</f>
        <v>9.7142857142857135</v>
      </c>
    </row>
    <row r="29" spans="1:63" ht="15" thickBot="1" x14ac:dyDescent="0.4">
      <c r="A29" s="31">
        <f t="shared" si="0"/>
        <v>25</v>
      </c>
      <c r="B29" s="112">
        <f t="shared" si="1"/>
        <v>26</v>
      </c>
      <c r="C29" s="113">
        <f t="shared" si="14"/>
        <v>46195</v>
      </c>
      <c r="D29" s="114" t="str">
        <f t="shared" si="2"/>
        <v>26-2026</v>
      </c>
      <c r="E29" s="115" t="str">
        <f>_xlfn.IFNA(VLOOKUP(D29,'Race-calendar'!D:F,2,FALSE),"-")</f>
        <v>-</v>
      </c>
      <c r="F29" s="112" t="str">
        <f>_xlfn.IFNA(VLOOKUP($D29,'Race-calendar'!$D:$F,3,FALSE),"-")</f>
        <v>-</v>
      </c>
      <c r="G29" s="116" t="str">
        <f>_xlfn.IFNA(VLOOKUP(D29,'Race-calendar'!D:H,4,FALSE),"-")</f>
        <v>-</v>
      </c>
      <c r="H29" s="117"/>
      <c r="I29" s="154" t="s">
        <v>80</v>
      </c>
      <c r="J29" s="157" t="s">
        <v>108</v>
      </c>
      <c r="K29" s="156" t="str">
        <f t="shared" si="15"/>
        <v>Build 2-2</v>
      </c>
      <c r="L29" s="118"/>
      <c r="M29" s="114"/>
      <c r="N29" s="119">
        <f>VLOOKUP(K29,ATP_Conditions!M:N,2,FALSE)</f>
        <v>680</v>
      </c>
      <c r="O29" s="31">
        <f>SUM(T29,W29,Z29,AC29,AF29,AI29,AL29,AO29)+ATP_Conditions!$C$6</f>
        <v>0</v>
      </c>
      <c r="P29" s="32">
        <f t="shared" ca="1" si="3"/>
        <v>285</v>
      </c>
      <c r="Q29" s="106">
        <f t="shared" si="4"/>
        <v>-680</v>
      </c>
      <c r="R29" s="107">
        <f t="shared" ca="1" si="5"/>
        <v>-395</v>
      </c>
      <c r="S29" s="120">
        <f t="shared" si="6"/>
        <v>0</v>
      </c>
      <c r="T29" s="160">
        <v>0</v>
      </c>
      <c r="U29" s="109" cm="1">
        <f t="array" aca="1" ref="U29" ca="1">IF(T$3="None",0,(INDIRECT("TABLE_WTL[@[" &amp; U$4 &amp; "]]")))</f>
        <v>35</v>
      </c>
      <c r="V29" s="120">
        <f t="shared" si="7"/>
        <v>0</v>
      </c>
      <c r="W29" s="160">
        <v>0</v>
      </c>
      <c r="X29" s="109" cm="1">
        <f t="array" aca="1" ref="X29" ca="1">IF(W$3="None",0,(INDIRECT("TABLE_WTL[@[" &amp; X$4 &amp; "]]")))</f>
        <v>0</v>
      </c>
      <c r="Y29" s="120">
        <f t="shared" si="8"/>
        <v>0</v>
      </c>
      <c r="Z29" s="160">
        <v>0</v>
      </c>
      <c r="AA29" s="109" cm="1">
        <f t="array" aca="1" ref="AA29" ca="1">IF(Z$3="None",0,(INDIRECT("TABLE_WTL[@[" &amp; AA$4 &amp; "]]")))</f>
        <v>100</v>
      </c>
      <c r="AB29" s="120">
        <f t="shared" si="9"/>
        <v>0</v>
      </c>
      <c r="AC29" s="160">
        <v>0</v>
      </c>
      <c r="AD29" s="109" cm="1">
        <f t="array" aca="1" ref="AD29" ca="1">IF(AC$3="None",0,(INDIRECT("TABLE_WTL[@[" &amp; AD$4 &amp; "]]")))</f>
        <v>150</v>
      </c>
      <c r="AE29" s="120">
        <f t="shared" si="10"/>
        <v>0</v>
      </c>
      <c r="AF29" s="160">
        <v>0</v>
      </c>
      <c r="AG29" s="109" cm="1">
        <f t="array" aca="1" ref="AG29" ca="1">IF(AF$3="None",0,(INDIRECT("TABLE_WTL[@[" &amp; AG$4 &amp; "]]")))</f>
        <v>0</v>
      </c>
      <c r="AH29" s="120">
        <f t="shared" si="11"/>
        <v>0</v>
      </c>
      <c r="AI29" s="160">
        <v>0</v>
      </c>
      <c r="AJ29" s="109" cm="1">
        <f t="array" aca="1" ref="AJ29" ca="1">IF(AI$3="None",0,(INDIRECT("TABLE_WTL[@[" &amp; AJ$4 &amp; "]]")))</f>
        <v>0</v>
      </c>
      <c r="AK29" s="120">
        <f t="shared" si="12"/>
        <v>0</v>
      </c>
      <c r="AL29" s="160">
        <v>0</v>
      </c>
      <c r="AM29" s="109" cm="1">
        <f t="array" aca="1" ref="AM29" ca="1">IF(AL$3="None",0,(INDIRECT("TABLE_WTL[@[" &amp; AM$4 &amp; "]]")))</f>
        <v>0</v>
      </c>
      <c r="AN29" s="120">
        <f t="shared" si="13"/>
        <v>0</v>
      </c>
      <c r="AO29" s="160">
        <v>0</v>
      </c>
      <c r="AP29" s="109" cm="1">
        <f t="array" aca="1" ref="AP29" ca="1">IF(AO$3="None",0,(INDIRECT("TABLE_WTL[@[" &amp; AP$4 &amp; "]]")))</f>
        <v>0</v>
      </c>
      <c r="AQ29" s="121"/>
      <c r="AR29" s="164"/>
      <c r="AS29" s="168"/>
      <c r="AT29" s="168"/>
      <c r="AU29" s="168"/>
      <c r="AV29" s="168"/>
      <c r="AW29" s="168"/>
      <c r="AX29" s="169"/>
      <c r="AY29" s="121"/>
      <c r="AZ29" s="190"/>
      <c r="BA29" s="71"/>
      <c r="BB29" s="180"/>
      <c r="BC29" s="181"/>
      <c r="BD29" s="181"/>
      <c r="BE29" s="181"/>
      <c r="BF29" s="181"/>
      <c r="BG29" s="181"/>
      <c r="BH29" s="181"/>
      <c r="BI29" s="182"/>
      <c r="BJ29" s="71"/>
      <c r="BK29" s="111">
        <f>N29/ATP_Conditions!$C$7</f>
        <v>9.7142857142857135</v>
      </c>
    </row>
    <row r="30" spans="1:63" ht="15" thickBot="1" x14ac:dyDescent="0.4">
      <c r="A30" s="31">
        <f t="shared" si="0"/>
        <v>26</v>
      </c>
      <c r="B30" s="112">
        <f t="shared" si="1"/>
        <v>27</v>
      </c>
      <c r="C30" s="113">
        <f t="shared" si="14"/>
        <v>46202</v>
      </c>
      <c r="D30" s="114" t="str">
        <f t="shared" si="2"/>
        <v>27-2026</v>
      </c>
      <c r="E30" s="115" t="str">
        <f>_xlfn.IFNA(VLOOKUP(D30,'Race-calendar'!D:F,2,FALSE),"-")</f>
        <v>-</v>
      </c>
      <c r="F30" s="112" t="str">
        <f>_xlfn.IFNA(VLOOKUP($D30,'Race-calendar'!$D:$F,3,FALSE),"-")</f>
        <v>-</v>
      </c>
      <c r="G30" s="116" t="str">
        <f>_xlfn.IFNA(VLOOKUP(D30,'Race-calendar'!D:H,4,FALSE),"-")</f>
        <v>-</v>
      </c>
      <c r="H30" s="117"/>
      <c r="I30" s="154" t="s">
        <v>74</v>
      </c>
      <c r="J30" s="157"/>
      <c r="K30" s="156" t="str">
        <f t="shared" si="15"/>
        <v>Prep</v>
      </c>
      <c r="L30" s="118"/>
      <c r="M30" s="114"/>
      <c r="N30" s="119">
        <f>VLOOKUP(K30,ATP_Conditions!M:N,2,FALSE)</f>
        <v>400</v>
      </c>
      <c r="O30" s="31">
        <f>SUM(T30,W30,Z30,AC30,AF30,AI30,AL30,AO30)+ATP_Conditions!$C$6</f>
        <v>0</v>
      </c>
      <c r="P30" s="32">
        <f t="shared" ca="1" si="3"/>
        <v>357</v>
      </c>
      <c r="Q30" s="106">
        <f t="shared" si="4"/>
        <v>-400</v>
      </c>
      <c r="R30" s="107">
        <f t="shared" ca="1" si="5"/>
        <v>-43</v>
      </c>
      <c r="S30" s="120">
        <f t="shared" si="6"/>
        <v>0</v>
      </c>
      <c r="T30" s="160">
        <v>0</v>
      </c>
      <c r="U30" s="109" cm="1">
        <f t="array" aca="1" ref="U30" ca="1">IF(T$3="None",0,(INDIRECT("TABLE_WTL[@[" &amp; U$4 &amp; "]]")))</f>
        <v>35</v>
      </c>
      <c r="V30" s="120">
        <f t="shared" si="7"/>
        <v>0</v>
      </c>
      <c r="W30" s="160">
        <v>0</v>
      </c>
      <c r="X30" s="109" cm="1">
        <f t="array" aca="1" ref="X30" ca="1">IF(W$3="None",0,(INDIRECT("TABLE_WTL[@[" &amp; X$4 &amp; "]]")))</f>
        <v>0</v>
      </c>
      <c r="Y30" s="120">
        <f t="shared" si="8"/>
        <v>0</v>
      </c>
      <c r="Z30" s="160">
        <v>0</v>
      </c>
      <c r="AA30" s="109" cm="1">
        <f t="array" aca="1" ref="AA30" ca="1">IF(Z$3="None",0,(INDIRECT("TABLE_WTL[@[" &amp; AA$4 &amp; "]]")))</f>
        <v>172</v>
      </c>
      <c r="AB30" s="120">
        <f t="shared" si="9"/>
        <v>0</v>
      </c>
      <c r="AC30" s="160">
        <v>0</v>
      </c>
      <c r="AD30" s="109" cm="1">
        <f t="array" aca="1" ref="AD30" ca="1">IF(AC$3="None",0,(INDIRECT("TABLE_WTL[@[" &amp; AD$4 &amp; "]]")))</f>
        <v>150</v>
      </c>
      <c r="AE30" s="120">
        <f t="shared" si="10"/>
        <v>0</v>
      </c>
      <c r="AF30" s="160">
        <v>0</v>
      </c>
      <c r="AG30" s="109" cm="1">
        <f t="array" aca="1" ref="AG30" ca="1">IF(AF$3="None",0,(INDIRECT("TABLE_WTL[@[" &amp; AG$4 &amp; "]]")))</f>
        <v>0</v>
      </c>
      <c r="AH30" s="120">
        <f t="shared" si="11"/>
        <v>0</v>
      </c>
      <c r="AI30" s="160">
        <v>0</v>
      </c>
      <c r="AJ30" s="109" cm="1">
        <f t="array" aca="1" ref="AJ30" ca="1">IF(AI$3="None",0,(INDIRECT("TABLE_WTL[@[" &amp; AJ$4 &amp; "]]")))</f>
        <v>0</v>
      </c>
      <c r="AK30" s="120">
        <f t="shared" si="12"/>
        <v>0</v>
      </c>
      <c r="AL30" s="160">
        <v>0</v>
      </c>
      <c r="AM30" s="109" cm="1">
        <f t="array" aca="1" ref="AM30" ca="1">IF(AL$3="None",0,(INDIRECT("TABLE_WTL[@[" &amp; AM$4 &amp; "]]")))</f>
        <v>0</v>
      </c>
      <c r="AN30" s="120">
        <f t="shared" si="13"/>
        <v>0</v>
      </c>
      <c r="AO30" s="160">
        <v>0</v>
      </c>
      <c r="AP30" s="109" cm="1">
        <f t="array" aca="1" ref="AP30" ca="1">IF(AO$3="None",0,(INDIRECT("TABLE_WTL[@[" &amp; AP$4 &amp; "]]")))</f>
        <v>0</v>
      </c>
      <c r="AQ30" s="121"/>
      <c r="AR30" s="164"/>
      <c r="AS30" s="168"/>
      <c r="AT30" s="168"/>
      <c r="AU30" s="168"/>
      <c r="AV30" s="168"/>
      <c r="AW30" s="168"/>
      <c r="AX30" s="169"/>
      <c r="AY30" s="121"/>
      <c r="AZ30" s="190"/>
      <c r="BA30" s="71"/>
      <c r="BB30" s="180"/>
      <c r="BC30" s="181"/>
      <c r="BD30" s="181"/>
      <c r="BE30" s="181"/>
      <c r="BF30" s="181"/>
      <c r="BG30" s="181"/>
      <c r="BH30" s="181"/>
      <c r="BI30" s="182"/>
      <c r="BJ30" s="71"/>
      <c r="BK30" s="111">
        <f>N30/ATP_Conditions!$C$7</f>
        <v>5.7142857142857144</v>
      </c>
    </row>
    <row r="31" spans="1:63" ht="15" thickBot="1" x14ac:dyDescent="0.4">
      <c r="A31" s="31">
        <f t="shared" si="0"/>
        <v>27</v>
      </c>
      <c r="B31" s="112">
        <f t="shared" si="1"/>
        <v>28</v>
      </c>
      <c r="C31" s="113">
        <f t="shared" si="14"/>
        <v>46209</v>
      </c>
      <c r="D31" s="114" t="str">
        <f t="shared" si="2"/>
        <v>28-2026</v>
      </c>
      <c r="E31" s="115" t="str">
        <f>_xlfn.IFNA(VLOOKUP(D31,'Race-calendar'!D:F,2,FALSE),"-")</f>
        <v>-</v>
      </c>
      <c r="F31" s="112" t="str">
        <f>_xlfn.IFNA(VLOOKUP($D31,'Race-calendar'!$D:$F,3,FALSE),"-")</f>
        <v>-</v>
      </c>
      <c r="G31" s="116" t="str">
        <f>_xlfn.IFNA(VLOOKUP(D31,'Race-calendar'!D:H,4,FALSE),"-")</f>
        <v>-</v>
      </c>
      <c r="H31" s="117"/>
      <c r="I31" s="154" t="s">
        <v>83</v>
      </c>
      <c r="J31" s="157"/>
      <c r="K31" s="156" t="str">
        <f t="shared" si="15"/>
        <v>Trans</v>
      </c>
      <c r="L31" s="118"/>
      <c r="M31" s="114"/>
      <c r="N31" s="119">
        <f>VLOOKUP(K31,ATP_Conditions!M:N,2,FALSE)</f>
        <v>250</v>
      </c>
      <c r="O31" s="31">
        <f>SUM(T31,W31,Z31,AC31,AF31,AI31,AL31,AO31)+ATP_Conditions!$C$6</f>
        <v>0</v>
      </c>
      <c r="P31" s="32">
        <f t="shared" ca="1" si="3"/>
        <v>357</v>
      </c>
      <c r="Q31" s="106">
        <f t="shared" si="4"/>
        <v>-250</v>
      </c>
      <c r="R31" s="107">
        <f t="shared" ca="1" si="5"/>
        <v>107</v>
      </c>
      <c r="S31" s="120">
        <f t="shared" si="6"/>
        <v>0</v>
      </c>
      <c r="T31" s="160">
        <v>0</v>
      </c>
      <c r="U31" s="109" cm="1">
        <f t="array" aca="1" ref="U31" ca="1">IF(T$3="None",0,(INDIRECT("TABLE_WTL[@[" &amp; U$4 &amp; "]]")))</f>
        <v>35</v>
      </c>
      <c r="V31" s="120">
        <f t="shared" si="7"/>
        <v>0</v>
      </c>
      <c r="W31" s="160">
        <v>0</v>
      </c>
      <c r="X31" s="109" cm="1">
        <f t="array" aca="1" ref="X31" ca="1">IF(W$3="None",0,(INDIRECT("TABLE_WTL[@[" &amp; X$4 &amp; "]]")))</f>
        <v>0</v>
      </c>
      <c r="Y31" s="120">
        <f t="shared" si="8"/>
        <v>0</v>
      </c>
      <c r="Z31" s="160">
        <v>0</v>
      </c>
      <c r="AA31" s="109" cm="1">
        <f t="array" aca="1" ref="AA31" ca="1">IF(Z$3="None",0,(INDIRECT("TABLE_WTL[@[" &amp; AA$4 &amp; "]]")))</f>
        <v>172</v>
      </c>
      <c r="AB31" s="120">
        <f t="shared" si="9"/>
        <v>0</v>
      </c>
      <c r="AC31" s="160">
        <v>0</v>
      </c>
      <c r="AD31" s="109" cm="1">
        <f t="array" aca="1" ref="AD31" ca="1">IF(AC$3="None",0,(INDIRECT("TABLE_WTL[@[" &amp; AD$4 &amp; "]]")))</f>
        <v>150</v>
      </c>
      <c r="AE31" s="120">
        <f t="shared" si="10"/>
        <v>0</v>
      </c>
      <c r="AF31" s="160">
        <v>0</v>
      </c>
      <c r="AG31" s="109" cm="1">
        <f t="array" aca="1" ref="AG31" ca="1">IF(AF$3="None",0,(INDIRECT("TABLE_WTL[@[" &amp; AG$4 &amp; "]]")))</f>
        <v>0</v>
      </c>
      <c r="AH31" s="120">
        <f t="shared" si="11"/>
        <v>0</v>
      </c>
      <c r="AI31" s="160">
        <v>0</v>
      </c>
      <c r="AJ31" s="109" cm="1">
        <f t="array" aca="1" ref="AJ31" ca="1">IF(AI$3="None",0,(INDIRECT("TABLE_WTL[@[" &amp; AJ$4 &amp; "]]")))</f>
        <v>0</v>
      </c>
      <c r="AK31" s="120">
        <f t="shared" si="12"/>
        <v>0</v>
      </c>
      <c r="AL31" s="160">
        <v>0</v>
      </c>
      <c r="AM31" s="109" cm="1">
        <f t="array" aca="1" ref="AM31" ca="1">IF(AL$3="None",0,(INDIRECT("TABLE_WTL[@[" &amp; AM$4 &amp; "]]")))</f>
        <v>0</v>
      </c>
      <c r="AN31" s="120">
        <f t="shared" si="13"/>
        <v>0</v>
      </c>
      <c r="AO31" s="160">
        <v>0</v>
      </c>
      <c r="AP31" s="109" cm="1">
        <f t="array" aca="1" ref="AP31" ca="1">IF(AO$3="None",0,(INDIRECT("TABLE_WTL[@[" &amp; AP$4 &amp; "]]")))</f>
        <v>0</v>
      </c>
      <c r="AQ31" s="121"/>
      <c r="AR31" s="164"/>
      <c r="AS31" s="168"/>
      <c r="AT31" s="168"/>
      <c r="AU31" s="168"/>
      <c r="AV31" s="168"/>
      <c r="AW31" s="168"/>
      <c r="AX31" s="169"/>
      <c r="AY31" s="121"/>
      <c r="AZ31" s="190"/>
      <c r="BA31" s="71"/>
      <c r="BB31" s="180"/>
      <c r="BC31" s="181"/>
      <c r="BD31" s="181"/>
      <c r="BE31" s="181"/>
      <c r="BF31" s="181"/>
      <c r="BG31" s="181"/>
      <c r="BH31" s="181"/>
      <c r="BI31" s="182"/>
      <c r="BJ31" s="71"/>
      <c r="BK31" s="111">
        <f>N31/ATP_Conditions!$C$7</f>
        <v>3.5714285714285716</v>
      </c>
    </row>
    <row r="32" spans="1:63" ht="15" thickBot="1" x14ac:dyDescent="0.4">
      <c r="A32" s="31">
        <f t="shared" si="0"/>
        <v>28</v>
      </c>
      <c r="B32" s="112">
        <f t="shared" si="1"/>
        <v>29</v>
      </c>
      <c r="C32" s="113">
        <f t="shared" si="14"/>
        <v>46216</v>
      </c>
      <c r="D32" s="114" t="str">
        <f t="shared" si="2"/>
        <v>29-2026</v>
      </c>
      <c r="E32" s="115" t="str">
        <f>_xlfn.IFNA(VLOOKUP(D32,'Race-calendar'!D:F,2,FALSE),"-")</f>
        <v>-</v>
      </c>
      <c r="F32" s="112" t="str">
        <f>_xlfn.IFNA(VLOOKUP($D32,'Race-calendar'!$D:$F,3,FALSE),"-")</f>
        <v>-</v>
      </c>
      <c r="G32" s="116" t="str">
        <f>_xlfn.IFNA(VLOOKUP(D32,'Race-calendar'!D:H,4,FALSE),"-")</f>
        <v>-</v>
      </c>
      <c r="H32" s="117"/>
      <c r="I32" s="154" t="s">
        <v>83</v>
      </c>
      <c r="J32" s="157"/>
      <c r="K32" s="156" t="str">
        <f t="shared" si="15"/>
        <v>Trans</v>
      </c>
      <c r="L32" s="118"/>
      <c r="M32" s="114"/>
      <c r="N32" s="119">
        <f>VLOOKUP(K32,ATP_Conditions!M:N,2,FALSE)</f>
        <v>250</v>
      </c>
      <c r="O32" s="31">
        <f>SUM(T32,W32,Z32,AC32,AF32,AI32,AL32,AO32)+ATP_Conditions!$C$6</f>
        <v>0</v>
      </c>
      <c r="P32" s="32">
        <f t="shared" ca="1" si="3"/>
        <v>357</v>
      </c>
      <c r="Q32" s="106">
        <f t="shared" si="4"/>
        <v>-250</v>
      </c>
      <c r="R32" s="107">
        <f t="shared" ca="1" si="5"/>
        <v>107</v>
      </c>
      <c r="S32" s="120">
        <f t="shared" si="6"/>
        <v>0</v>
      </c>
      <c r="T32" s="160">
        <v>0</v>
      </c>
      <c r="U32" s="109" cm="1">
        <f t="array" aca="1" ref="U32" ca="1">IF(T$3="None",0,(INDIRECT("TABLE_WTL[@[" &amp; U$4 &amp; "]]")))</f>
        <v>35</v>
      </c>
      <c r="V32" s="120">
        <f t="shared" si="7"/>
        <v>0</v>
      </c>
      <c r="W32" s="160">
        <v>0</v>
      </c>
      <c r="X32" s="109" cm="1">
        <f t="array" aca="1" ref="X32" ca="1">IF(W$3="None",0,(INDIRECT("TABLE_WTL[@[" &amp; X$4 &amp; "]]")))</f>
        <v>0</v>
      </c>
      <c r="Y32" s="120">
        <f t="shared" si="8"/>
        <v>0</v>
      </c>
      <c r="Z32" s="160">
        <v>0</v>
      </c>
      <c r="AA32" s="109" cm="1">
        <f t="array" aca="1" ref="AA32" ca="1">IF(Z$3="None",0,(INDIRECT("TABLE_WTL[@[" &amp; AA$4 &amp; "]]")))</f>
        <v>172</v>
      </c>
      <c r="AB32" s="120">
        <f t="shared" si="9"/>
        <v>0</v>
      </c>
      <c r="AC32" s="160">
        <v>0</v>
      </c>
      <c r="AD32" s="109" cm="1">
        <f t="array" aca="1" ref="AD32" ca="1">IF(AC$3="None",0,(INDIRECT("TABLE_WTL[@[" &amp; AD$4 &amp; "]]")))</f>
        <v>150</v>
      </c>
      <c r="AE32" s="120">
        <f t="shared" si="10"/>
        <v>0</v>
      </c>
      <c r="AF32" s="160">
        <v>0</v>
      </c>
      <c r="AG32" s="109" cm="1">
        <f t="array" aca="1" ref="AG32" ca="1">IF(AF$3="None",0,(INDIRECT("TABLE_WTL[@[" &amp; AG$4 &amp; "]]")))</f>
        <v>0</v>
      </c>
      <c r="AH32" s="120">
        <f t="shared" si="11"/>
        <v>0</v>
      </c>
      <c r="AI32" s="160">
        <v>0</v>
      </c>
      <c r="AJ32" s="109" cm="1">
        <f t="array" aca="1" ref="AJ32" ca="1">IF(AI$3="None",0,(INDIRECT("TABLE_WTL[@[" &amp; AJ$4 &amp; "]]")))</f>
        <v>0</v>
      </c>
      <c r="AK32" s="120">
        <f t="shared" si="12"/>
        <v>0</v>
      </c>
      <c r="AL32" s="160">
        <v>0</v>
      </c>
      <c r="AM32" s="109" cm="1">
        <f t="array" aca="1" ref="AM32" ca="1">IF(AL$3="None",0,(INDIRECT("TABLE_WTL[@[" &amp; AM$4 &amp; "]]")))</f>
        <v>0</v>
      </c>
      <c r="AN32" s="120">
        <f t="shared" si="13"/>
        <v>0</v>
      </c>
      <c r="AO32" s="160">
        <v>0</v>
      </c>
      <c r="AP32" s="109" cm="1">
        <f t="array" aca="1" ref="AP32" ca="1">IF(AO$3="None",0,(INDIRECT("TABLE_WTL[@[" &amp; AP$4 &amp; "]]")))</f>
        <v>0</v>
      </c>
      <c r="AQ32" s="121"/>
      <c r="AR32" s="164"/>
      <c r="AS32" s="168"/>
      <c r="AT32" s="168"/>
      <c r="AU32" s="168"/>
      <c r="AV32" s="168"/>
      <c r="AW32" s="168"/>
      <c r="AX32" s="169"/>
      <c r="AY32" s="121"/>
      <c r="AZ32" s="190"/>
      <c r="BA32" s="71"/>
      <c r="BB32" s="180"/>
      <c r="BC32" s="181"/>
      <c r="BD32" s="181"/>
      <c r="BE32" s="181"/>
      <c r="BF32" s="181"/>
      <c r="BG32" s="181"/>
      <c r="BH32" s="181"/>
      <c r="BI32" s="182"/>
      <c r="BJ32" s="71"/>
      <c r="BK32" s="111">
        <f>N32/ATP_Conditions!$C$7</f>
        <v>3.5714285714285716</v>
      </c>
    </row>
    <row r="33" spans="1:63" ht="15" thickBot="1" x14ac:dyDescent="0.4">
      <c r="A33" s="31">
        <f t="shared" si="0"/>
        <v>29</v>
      </c>
      <c r="B33" s="112">
        <f t="shared" si="1"/>
        <v>30</v>
      </c>
      <c r="C33" s="113">
        <f t="shared" si="14"/>
        <v>46223</v>
      </c>
      <c r="D33" s="114" t="str">
        <f t="shared" si="2"/>
        <v>30-2026</v>
      </c>
      <c r="E33" s="115" t="str">
        <f>_xlfn.IFNA(VLOOKUP(D33,'Race-calendar'!D:F,2,FALSE),"-")</f>
        <v>-</v>
      </c>
      <c r="F33" s="112" t="str">
        <f>_xlfn.IFNA(VLOOKUP($D33,'Race-calendar'!$D:$F,3,FALSE),"-")</f>
        <v>-</v>
      </c>
      <c r="G33" s="116" t="str">
        <f>_xlfn.IFNA(VLOOKUP(D33,'Race-calendar'!D:H,4,FALSE),"-")</f>
        <v>-</v>
      </c>
      <c r="H33" s="117"/>
      <c r="I33" s="154" t="s">
        <v>83</v>
      </c>
      <c r="J33" s="157"/>
      <c r="K33" s="156" t="str">
        <f t="shared" si="15"/>
        <v>Trans</v>
      </c>
      <c r="L33" s="118"/>
      <c r="M33" s="114"/>
      <c r="N33" s="119">
        <f>VLOOKUP(K33,ATP_Conditions!M:N,2,FALSE)</f>
        <v>250</v>
      </c>
      <c r="O33" s="31">
        <f>SUM(T33,W33,Z33,AC33,AF33,AI33,AL33,AO33)+ATP_Conditions!$C$6</f>
        <v>0</v>
      </c>
      <c r="P33" s="32">
        <f t="shared" ca="1" si="3"/>
        <v>357</v>
      </c>
      <c r="Q33" s="106">
        <f t="shared" si="4"/>
        <v>-250</v>
      </c>
      <c r="R33" s="107">
        <f t="shared" ca="1" si="5"/>
        <v>107</v>
      </c>
      <c r="S33" s="120">
        <f t="shared" si="6"/>
        <v>0</v>
      </c>
      <c r="T33" s="160">
        <v>0</v>
      </c>
      <c r="U33" s="109" cm="1">
        <f t="array" aca="1" ref="U33" ca="1">IF(T$3="None",0,(INDIRECT("TABLE_WTL[@[" &amp; U$4 &amp; "]]")))</f>
        <v>35</v>
      </c>
      <c r="V33" s="120">
        <f t="shared" si="7"/>
        <v>0</v>
      </c>
      <c r="W33" s="160">
        <v>0</v>
      </c>
      <c r="X33" s="109" cm="1">
        <f t="array" aca="1" ref="X33" ca="1">IF(W$3="None",0,(INDIRECT("TABLE_WTL[@[" &amp; X$4 &amp; "]]")))</f>
        <v>0</v>
      </c>
      <c r="Y33" s="120">
        <f t="shared" si="8"/>
        <v>0</v>
      </c>
      <c r="Z33" s="160">
        <v>0</v>
      </c>
      <c r="AA33" s="109" cm="1">
        <f t="array" aca="1" ref="AA33" ca="1">IF(Z$3="None",0,(INDIRECT("TABLE_WTL[@[" &amp; AA$4 &amp; "]]")))</f>
        <v>172</v>
      </c>
      <c r="AB33" s="120">
        <f t="shared" si="9"/>
        <v>0</v>
      </c>
      <c r="AC33" s="160">
        <v>0</v>
      </c>
      <c r="AD33" s="109" cm="1">
        <f t="array" aca="1" ref="AD33" ca="1">IF(AC$3="None",0,(INDIRECT("TABLE_WTL[@[" &amp; AD$4 &amp; "]]")))</f>
        <v>150</v>
      </c>
      <c r="AE33" s="120">
        <f t="shared" si="10"/>
        <v>0</v>
      </c>
      <c r="AF33" s="160">
        <v>0</v>
      </c>
      <c r="AG33" s="109" cm="1">
        <f t="array" aca="1" ref="AG33" ca="1">IF(AF$3="None",0,(INDIRECT("TABLE_WTL[@[" &amp; AG$4 &amp; "]]")))</f>
        <v>0</v>
      </c>
      <c r="AH33" s="120">
        <f t="shared" si="11"/>
        <v>0</v>
      </c>
      <c r="AI33" s="160">
        <v>0</v>
      </c>
      <c r="AJ33" s="109" cm="1">
        <f t="array" aca="1" ref="AJ33" ca="1">IF(AI$3="None",0,(INDIRECT("TABLE_WTL[@[" &amp; AJ$4 &amp; "]]")))</f>
        <v>0</v>
      </c>
      <c r="AK33" s="120">
        <f t="shared" si="12"/>
        <v>0</v>
      </c>
      <c r="AL33" s="160">
        <v>0</v>
      </c>
      <c r="AM33" s="109" cm="1">
        <f t="array" aca="1" ref="AM33" ca="1">IF(AL$3="None",0,(INDIRECT("TABLE_WTL[@[" &amp; AM$4 &amp; "]]")))</f>
        <v>0</v>
      </c>
      <c r="AN33" s="120">
        <f t="shared" si="13"/>
        <v>0</v>
      </c>
      <c r="AO33" s="160">
        <v>0</v>
      </c>
      <c r="AP33" s="109" cm="1">
        <f t="array" aca="1" ref="AP33" ca="1">IF(AO$3="None",0,(INDIRECT("TABLE_WTL[@[" &amp; AP$4 &amp; "]]")))</f>
        <v>0</v>
      </c>
      <c r="AQ33" s="121"/>
      <c r="AR33" s="164"/>
      <c r="AS33" s="168"/>
      <c r="AT33" s="168"/>
      <c r="AU33" s="168"/>
      <c r="AV33" s="168"/>
      <c r="AW33" s="168"/>
      <c r="AX33" s="169"/>
      <c r="AY33" s="121"/>
      <c r="AZ33" s="190"/>
      <c r="BA33" s="71"/>
      <c r="BB33" s="180"/>
      <c r="BC33" s="181"/>
      <c r="BD33" s="181"/>
      <c r="BE33" s="181"/>
      <c r="BF33" s="181"/>
      <c r="BG33" s="181"/>
      <c r="BH33" s="181"/>
      <c r="BI33" s="182"/>
      <c r="BJ33" s="71"/>
      <c r="BK33" s="111">
        <f>N33/ATP_Conditions!$C$7</f>
        <v>3.5714285714285716</v>
      </c>
    </row>
    <row r="34" spans="1:63" ht="15" thickBot="1" x14ac:dyDescent="0.4">
      <c r="A34" s="31">
        <f t="shared" si="0"/>
        <v>30</v>
      </c>
      <c r="B34" s="112">
        <f t="shared" si="1"/>
        <v>31</v>
      </c>
      <c r="C34" s="113">
        <f t="shared" si="14"/>
        <v>46230</v>
      </c>
      <c r="D34" s="114" t="str">
        <f t="shared" si="2"/>
        <v>31-2026</v>
      </c>
      <c r="E34" s="115" t="str">
        <f>_xlfn.IFNA(VLOOKUP(D34,'Race-calendar'!D:F,2,FALSE),"-")</f>
        <v>-</v>
      </c>
      <c r="F34" s="112" t="str">
        <f>_xlfn.IFNA(VLOOKUP($D34,'Race-calendar'!$D:$F,3,FALSE),"-")</f>
        <v>-</v>
      </c>
      <c r="G34" s="116" t="str">
        <f>_xlfn.IFNA(VLOOKUP(D34,'Race-calendar'!D:H,4,FALSE),"-")</f>
        <v>-</v>
      </c>
      <c r="H34" s="117"/>
      <c r="I34" s="154" t="s">
        <v>80</v>
      </c>
      <c r="J34" s="157" t="s">
        <v>108</v>
      </c>
      <c r="K34" s="156" t="str">
        <f t="shared" si="15"/>
        <v>Build 2-2</v>
      </c>
      <c r="L34" s="118"/>
      <c r="M34" s="114"/>
      <c r="N34" s="119">
        <f>VLOOKUP(K34,ATP_Conditions!M:N,2,FALSE)</f>
        <v>680</v>
      </c>
      <c r="O34" s="31">
        <f>SUM(T34,W34,Z34,AC34,AF34,AI34,AL34,AO34)+ATP_Conditions!$C$6</f>
        <v>0</v>
      </c>
      <c r="P34" s="32">
        <f t="shared" ca="1" si="3"/>
        <v>357</v>
      </c>
      <c r="Q34" s="106">
        <f t="shared" si="4"/>
        <v>-680</v>
      </c>
      <c r="R34" s="107">
        <f t="shared" ca="1" si="5"/>
        <v>-323</v>
      </c>
      <c r="S34" s="120">
        <f t="shared" si="6"/>
        <v>0</v>
      </c>
      <c r="T34" s="160">
        <v>0</v>
      </c>
      <c r="U34" s="109" cm="1">
        <f t="array" aca="1" ref="U34" ca="1">IF(T$3="None",0,(INDIRECT("TABLE_WTL[@[" &amp; U$4 &amp; "]]")))</f>
        <v>35</v>
      </c>
      <c r="V34" s="120">
        <f t="shared" si="7"/>
        <v>0</v>
      </c>
      <c r="W34" s="160">
        <v>0</v>
      </c>
      <c r="X34" s="109" cm="1">
        <f t="array" aca="1" ref="X34" ca="1">IF(W$3="None",0,(INDIRECT("TABLE_WTL[@[" &amp; X$4 &amp; "]]")))</f>
        <v>0</v>
      </c>
      <c r="Y34" s="120">
        <f t="shared" si="8"/>
        <v>0</v>
      </c>
      <c r="Z34" s="160">
        <v>0</v>
      </c>
      <c r="AA34" s="109" cm="1">
        <f t="array" aca="1" ref="AA34" ca="1">IF(Z$3="None",0,(INDIRECT("TABLE_WTL[@[" &amp; AA$4 &amp; "]]")))</f>
        <v>172</v>
      </c>
      <c r="AB34" s="120">
        <f t="shared" si="9"/>
        <v>0</v>
      </c>
      <c r="AC34" s="160">
        <v>0</v>
      </c>
      <c r="AD34" s="109" cm="1">
        <f t="array" aca="1" ref="AD34" ca="1">IF(AC$3="None",0,(INDIRECT("TABLE_WTL[@[" &amp; AD$4 &amp; "]]")))</f>
        <v>150</v>
      </c>
      <c r="AE34" s="120">
        <f t="shared" si="10"/>
        <v>0</v>
      </c>
      <c r="AF34" s="160">
        <v>0</v>
      </c>
      <c r="AG34" s="109" cm="1">
        <f t="array" aca="1" ref="AG34" ca="1">IF(AF$3="None",0,(INDIRECT("TABLE_WTL[@[" &amp; AG$4 &amp; "]]")))</f>
        <v>0</v>
      </c>
      <c r="AH34" s="120">
        <f t="shared" si="11"/>
        <v>0</v>
      </c>
      <c r="AI34" s="160">
        <v>0</v>
      </c>
      <c r="AJ34" s="109" cm="1">
        <f t="array" aca="1" ref="AJ34" ca="1">IF(AI$3="None",0,(INDIRECT("TABLE_WTL[@[" &amp; AJ$4 &amp; "]]")))</f>
        <v>0</v>
      </c>
      <c r="AK34" s="120">
        <f t="shared" si="12"/>
        <v>0</v>
      </c>
      <c r="AL34" s="160">
        <v>0</v>
      </c>
      <c r="AM34" s="109" cm="1">
        <f t="array" aca="1" ref="AM34" ca="1">IF(AL$3="None",0,(INDIRECT("TABLE_WTL[@[" &amp; AM$4 &amp; "]]")))</f>
        <v>0</v>
      </c>
      <c r="AN34" s="120">
        <f t="shared" si="13"/>
        <v>0</v>
      </c>
      <c r="AO34" s="160">
        <v>0</v>
      </c>
      <c r="AP34" s="109" cm="1">
        <f t="array" aca="1" ref="AP34" ca="1">IF(AO$3="None",0,(INDIRECT("TABLE_WTL[@[" &amp; AP$4 &amp; "]]")))</f>
        <v>0</v>
      </c>
      <c r="AQ34" s="121"/>
      <c r="AR34" s="164"/>
      <c r="AS34" s="168"/>
      <c r="AT34" s="168"/>
      <c r="AU34" s="168"/>
      <c r="AV34" s="168"/>
      <c r="AW34" s="168"/>
      <c r="AX34" s="169"/>
      <c r="AY34" s="121"/>
      <c r="AZ34" s="190"/>
      <c r="BA34" s="71"/>
      <c r="BB34" s="180"/>
      <c r="BC34" s="181"/>
      <c r="BD34" s="181"/>
      <c r="BE34" s="181"/>
      <c r="BF34" s="181"/>
      <c r="BG34" s="181"/>
      <c r="BH34" s="181"/>
      <c r="BI34" s="182"/>
      <c r="BJ34" s="71"/>
      <c r="BK34" s="111">
        <f>N34/ATP_Conditions!$C$7</f>
        <v>9.7142857142857135</v>
      </c>
    </row>
    <row r="35" spans="1:63" ht="15" thickBot="1" x14ac:dyDescent="0.4">
      <c r="A35" s="31">
        <f t="shared" si="0"/>
        <v>31</v>
      </c>
      <c r="B35" s="112">
        <f t="shared" si="1"/>
        <v>32</v>
      </c>
      <c r="C35" s="113">
        <f t="shared" si="14"/>
        <v>46237</v>
      </c>
      <c r="D35" s="114" t="str">
        <f t="shared" si="2"/>
        <v>32-2026</v>
      </c>
      <c r="E35" s="115" t="str">
        <f>_xlfn.IFNA(VLOOKUP(D35,'Race-calendar'!D:F,2,FALSE),"-")</f>
        <v>-</v>
      </c>
      <c r="F35" s="112" t="str">
        <f>_xlfn.IFNA(VLOOKUP($D35,'Race-calendar'!$D:$F,3,FALSE),"-")</f>
        <v>-</v>
      </c>
      <c r="G35" s="116" t="str">
        <f>_xlfn.IFNA(VLOOKUP(D35,'Race-calendar'!D:H,4,FALSE),"-")</f>
        <v>-</v>
      </c>
      <c r="H35" s="117"/>
      <c r="I35" s="154" t="s">
        <v>80</v>
      </c>
      <c r="J35" s="157" t="s">
        <v>109</v>
      </c>
      <c r="K35" s="156" t="str">
        <f t="shared" si="15"/>
        <v>Build 2-3</v>
      </c>
      <c r="L35" s="118"/>
      <c r="M35" s="114"/>
      <c r="N35" s="119">
        <f>VLOOKUP(K35,ATP_Conditions!M:N,2,FALSE)</f>
        <v>680</v>
      </c>
      <c r="O35" s="31">
        <f>SUM(T35,W35,Z35,AC35,AF35,AI35,AL35,AO35)+ATP_Conditions!$C$6</f>
        <v>0</v>
      </c>
      <c r="P35" s="32">
        <f ca="1">SUM(U35,X35,AA35,AD35,AG35,AJ35,AM35,AP35)</f>
        <v>294</v>
      </c>
      <c r="Q35" s="106">
        <f t="shared" si="4"/>
        <v>-680</v>
      </c>
      <c r="R35" s="107">
        <f t="shared" ca="1" si="5"/>
        <v>-386</v>
      </c>
      <c r="S35" s="120">
        <f t="shared" si="6"/>
        <v>0</v>
      </c>
      <c r="T35" s="160">
        <v>0</v>
      </c>
      <c r="U35" s="109" cm="1">
        <f t="array" aca="1" ref="U35" ca="1">IF(T$3="None",0,(INDIRECT("TABLE_WTL[@[" &amp; U$4 &amp; "]]")))</f>
        <v>0</v>
      </c>
      <c r="V35" s="120">
        <f t="shared" si="7"/>
        <v>0</v>
      </c>
      <c r="W35" s="160">
        <v>0</v>
      </c>
      <c r="X35" s="109" cm="1">
        <f t="array" aca="1" ref="X35" ca="1">IF(W$3="None",0,(INDIRECT("TABLE_WTL[@[" &amp; X$4 &amp; "]]")))</f>
        <v>0</v>
      </c>
      <c r="Y35" s="120">
        <f t="shared" si="8"/>
        <v>0</v>
      </c>
      <c r="Z35" s="160">
        <v>0</v>
      </c>
      <c r="AA35" s="109" cm="1">
        <f t="array" aca="1" ref="AA35" ca="1">IF(Z$3="None",0,(INDIRECT("TABLE_WTL[@[" &amp; AA$4 &amp; "]]")))</f>
        <v>144</v>
      </c>
      <c r="AB35" s="120">
        <f t="shared" si="9"/>
        <v>0</v>
      </c>
      <c r="AC35" s="160">
        <v>0</v>
      </c>
      <c r="AD35" s="109" cm="1">
        <f t="array" aca="1" ref="AD35" ca="1">IF(AC$3="None",0,(INDIRECT("TABLE_WTL[@[" &amp; AD$4 &amp; "]]")))</f>
        <v>150</v>
      </c>
      <c r="AE35" s="120">
        <f t="shared" si="10"/>
        <v>0</v>
      </c>
      <c r="AF35" s="160">
        <v>0</v>
      </c>
      <c r="AG35" s="109" cm="1">
        <f t="array" aca="1" ref="AG35" ca="1">IF(AF$3="None",0,(INDIRECT("TABLE_WTL[@[" &amp; AG$4 &amp; "]]")))</f>
        <v>0</v>
      </c>
      <c r="AH35" s="120">
        <f t="shared" si="11"/>
        <v>0</v>
      </c>
      <c r="AI35" s="160">
        <v>0</v>
      </c>
      <c r="AJ35" s="109" cm="1">
        <f t="array" aca="1" ref="AJ35" ca="1">IF(AI$3="None",0,(INDIRECT("TABLE_WTL[@[" &amp; AJ$4 &amp; "]]")))</f>
        <v>0</v>
      </c>
      <c r="AK35" s="120">
        <f t="shared" si="12"/>
        <v>0</v>
      </c>
      <c r="AL35" s="160">
        <v>0</v>
      </c>
      <c r="AM35" s="109" cm="1">
        <f t="array" aca="1" ref="AM35" ca="1">IF(AL$3="None",0,(INDIRECT("TABLE_WTL[@[" &amp; AM$4 &amp; "]]")))</f>
        <v>0</v>
      </c>
      <c r="AN35" s="120">
        <f t="shared" si="13"/>
        <v>0</v>
      </c>
      <c r="AO35" s="160">
        <v>0</v>
      </c>
      <c r="AP35" s="109" cm="1">
        <f t="array" aca="1" ref="AP35" ca="1">IF(AO$3="None",0,(INDIRECT("TABLE_WTL[@[" &amp; AP$4 &amp; "]]")))</f>
        <v>0</v>
      </c>
      <c r="AQ35" s="121"/>
      <c r="AR35" s="164"/>
      <c r="AS35" s="168"/>
      <c r="AT35" s="168"/>
      <c r="AU35" s="168"/>
      <c r="AV35" s="168"/>
      <c r="AW35" s="168"/>
      <c r="AX35" s="169"/>
      <c r="AY35" s="121"/>
      <c r="AZ35" s="190"/>
      <c r="BA35" s="71"/>
      <c r="BB35" s="180"/>
      <c r="BC35" s="181"/>
      <c r="BD35" s="181"/>
      <c r="BE35" s="181"/>
      <c r="BF35" s="181"/>
      <c r="BG35" s="181"/>
      <c r="BH35" s="181"/>
      <c r="BI35" s="182"/>
      <c r="BJ35" s="71"/>
      <c r="BK35" s="111">
        <f>N35/ATP_Conditions!$C$7</f>
        <v>9.7142857142857135</v>
      </c>
    </row>
    <row r="36" spans="1:63" ht="15" thickBot="1" x14ac:dyDescent="0.4">
      <c r="A36" s="31">
        <f t="shared" si="0"/>
        <v>32</v>
      </c>
      <c r="B36" s="112">
        <f t="shared" si="1"/>
        <v>33</v>
      </c>
      <c r="C36" s="113">
        <f t="shared" si="14"/>
        <v>46244</v>
      </c>
      <c r="D36" s="114" t="str">
        <f t="shared" si="2"/>
        <v>33-2026</v>
      </c>
      <c r="E36" s="115" t="str">
        <f>_xlfn.IFNA(VLOOKUP(D36,'Race-calendar'!D:F,2,FALSE),"-")</f>
        <v>-</v>
      </c>
      <c r="F36" s="112" t="str">
        <f>_xlfn.IFNA(VLOOKUP($D36,'Race-calendar'!$D:$F,3,FALSE),"-")</f>
        <v>-</v>
      </c>
      <c r="G36" s="116" t="str">
        <f>_xlfn.IFNA(VLOOKUP(D36,'Race-calendar'!D:H,4,FALSE),"-")</f>
        <v>-</v>
      </c>
      <c r="H36" s="117"/>
      <c r="I36" s="154" t="s">
        <v>80</v>
      </c>
      <c r="J36" s="157" t="s">
        <v>110</v>
      </c>
      <c r="K36" s="156" t="str">
        <f t="shared" si="15"/>
        <v>Build 2-4</v>
      </c>
      <c r="L36" s="118"/>
      <c r="M36" s="114"/>
      <c r="N36" s="119">
        <f>VLOOKUP(K36,ATP_Conditions!M:N,2,FALSE)</f>
        <v>400</v>
      </c>
      <c r="O36" s="135">
        <f>SUM(T36,W36,Z36,AC36,AF36,AI36,AL36,AO36)+ATP_Conditions!$C$6</f>
        <v>0</v>
      </c>
      <c r="P36" s="32">
        <f t="shared" ca="1" si="3"/>
        <v>150</v>
      </c>
      <c r="Q36" s="106">
        <f t="shared" si="4"/>
        <v>-400</v>
      </c>
      <c r="R36" s="107">
        <f t="shared" ca="1" si="5"/>
        <v>-250</v>
      </c>
      <c r="S36" s="120">
        <f t="shared" si="6"/>
        <v>0</v>
      </c>
      <c r="T36" s="160">
        <v>0</v>
      </c>
      <c r="U36" s="109" cm="1">
        <f t="array" aca="1" ref="U36" ca="1">IF(T$3="None",0,(INDIRECT("TABLE_WTL[@[" &amp; U$4 &amp; "]]")))</f>
        <v>0</v>
      </c>
      <c r="V36" s="120">
        <f t="shared" si="7"/>
        <v>0</v>
      </c>
      <c r="W36" s="160">
        <v>0</v>
      </c>
      <c r="X36" s="109" cm="1">
        <f t="array" aca="1" ref="X36" ca="1">IF(W$3="None",0,(INDIRECT("TABLE_WTL[@[" &amp; X$4 &amp; "]]")))</f>
        <v>0</v>
      </c>
      <c r="Y36" s="120">
        <f t="shared" si="8"/>
        <v>0</v>
      </c>
      <c r="Z36" s="160">
        <v>0</v>
      </c>
      <c r="AA36" s="109" cm="1">
        <f t="array" aca="1" ref="AA36" ca="1">IF(Z$3="None",0,(INDIRECT("TABLE_WTL[@[" &amp; AA$4 &amp; "]]")))</f>
        <v>0</v>
      </c>
      <c r="AB36" s="120">
        <f t="shared" si="9"/>
        <v>0</v>
      </c>
      <c r="AC36" s="160">
        <v>0</v>
      </c>
      <c r="AD36" s="109" cm="1">
        <f t="array" aca="1" ref="AD36" ca="1">IF(AC$3="None",0,(INDIRECT("TABLE_WTL[@[" &amp; AD$4 &amp; "]]")))</f>
        <v>150</v>
      </c>
      <c r="AE36" s="120">
        <f t="shared" si="10"/>
        <v>0</v>
      </c>
      <c r="AF36" s="160">
        <v>0</v>
      </c>
      <c r="AG36" s="109" cm="1">
        <f t="array" aca="1" ref="AG36" ca="1">IF(AF$3="None",0,(INDIRECT("TABLE_WTL[@[" &amp; AG$4 &amp; "]]")))</f>
        <v>0</v>
      </c>
      <c r="AH36" s="120">
        <f t="shared" si="11"/>
        <v>0</v>
      </c>
      <c r="AI36" s="160">
        <v>0</v>
      </c>
      <c r="AJ36" s="109" cm="1">
        <f t="array" aca="1" ref="AJ36" ca="1">IF(AI$3="None",0,(INDIRECT("TABLE_WTL[@[" &amp; AJ$4 &amp; "]]")))</f>
        <v>0</v>
      </c>
      <c r="AK36" s="120">
        <f t="shared" si="12"/>
        <v>0</v>
      </c>
      <c r="AL36" s="160">
        <v>0</v>
      </c>
      <c r="AM36" s="109" cm="1">
        <f t="array" aca="1" ref="AM36" ca="1">IF(AL$3="None",0,(INDIRECT("TABLE_WTL[@[" &amp; AM$4 &amp; "]]")))</f>
        <v>0</v>
      </c>
      <c r="AN36" s="120">
        <f t="shared" si="13"/>
        <v>0</v>
      </c>
      <c r="AO36" s="160">
        <v>0</v>
      </c>
      <c r="AP36" s="109" cm="1">
        <f t="array" aca="1" ref="AP36" ca="1">IF(AO$3="None",0,(INDIRECT("TABLE_WTL[@[" &amp; AP$4 &amp; "]]")))</f>
        <v>0</v>
      </c>
      <c r="AQ36" s="121"/>
      <c r="AR36" s="164"/>
      <c r="AS36" s="168"/>
      <c r="AT36" s="168"/>
      <c r="AU36" s="168"/>
      <c r="AV36" s="168"/>
      <c r="AW36" s="168"/>
      <c r="AX36" s="169"/>
      <c r="AY36" s="121"/>
      <c r="AZ36" s="190"/>
      <c r="BA36" s="71"/>
      <c r="BB36" s="180"/>
      <c r="BC36" s="181"/>
      <c r="BD36" s="181"/>
      <c r="BE36" s="181"/>
      <c r="BF36" s="181"/>
      <c r="BG36" s="181"/>
      <c r="BH36" s="181"/>
      <c r="BI36" s="182"/>
      <c r="BJ36" s="71"/>
      <c r="BK36" s="111">
        <f>N36/ATP_Conditions!$C$7</f>
        <v>5.7142857142857144</v>
      </c>
    </row>
    <row r="37" spans="1:63" ht="15" thickBot="1" x14ac:dyDescent="0.4">
      <c r="A37" s="31">
        <f t="shared" si="0"/>
        <v>33</v>
      </c>
      <c r="B37" s="112">
        <f t="shared" si="1"/>
        <v>34</v>
      </c>
      <c r="C37" s="113">
        <f t="shared" si="14"/>
        <v>46251</v>
      </c>
      <c r="D37" s="114" t="str">
        <f t="shared" si="2"/>
        <v>34-2026</v>
      </c>
      <c r="E37" s="115" t="str">
        <f>_xlfn.IFNA(VLOOKUP(D37,'Race-calendar'!D:F,2,FALSE),"-")</f>
        <v>Kwartje Anna Paulowna</v>
      </c>
      <c r="F37" s="112" t="str">
        <f>_xlfn.IFNA(VLOOKUP($D37,'Race-calendar'!$D:$F,3,FALSE),"-")</f>
        <v>B</v>
      </c>
      <c r="G37" s="116">
        <f>_xlfn.IFNA(VLOOKUP(D37,'Race-calendar'!D:H,4,FALSE),"-")</f>
        <v>46256</v>
      </c>
      <c r="H37" s="117"/>
      <c r="I37" s="154" t="s">
        <v>5</v>
      </c>
      <c r="J37" s="157" t="s">
        <v>107</v>
      </c>
      <c r="K37" s="156" t="str">
        <f t="shared" si="15"/>
        <v>Peak-1</v>
      </c>
      <c r="L37" s="118"/>
      <c r="M37" s="114"/>
      <c r="N37" s="119">
        <f>VLOOKUP(K37,ATP_Conditions!M:N,2,FALSE)</f>
        <v>480</v>
      </c>
      <c r="O37" s="31">
        <f>SUM(T37,W37,Z37,AC37,AF37,AI37,AL37,AO37)+ATP_Conditions!$C$6</f>
        <v>0</v>
      </c>
      <c r="P37" s="32">
        <f t="shared" ref="P37:P56" ca="1" si="16">SUM(U37,X37,AA37,AD37,AG37,AJ37,AM37,AP37)</f>
        <v>150</v>
      </c>
      <c r="Q37" s="106">
        <f t="shared" si="4"/>
        <v>-480</v>
      </c>
      <c r="R37" s="107">
        <f t="shared" ca="1" si="5"/>
        <v>-330</v>
      </c>
      <c r="S37" s="120">
        <f t="shared" si="6"/>
        <v>0</v>
      </c>
      <c r="T37" s="160">
        <v>0</v>
      </c>
      <c r="U37" s="109" cm="1">
        <f t="array" aca="1" ref="U37" ca="1">IF(T$3="None",0,(INDIRECT("TABLE_WTL[@[" &amp; U$4 &amp; "]]")))</f>
        <v>0</v>
      </c>
      <c r="V37" s="120">
        <f t="shared" si="7"/>
        <v>0</v>
      </c>
      <c r="W37" s="160">
        <v>0</v>
      </c>
      <c r="X37" s="109" cm="1">
        <f t="array" aca="1" ref="X37" ca="1">IF(W$3="None",0,(INDIRECT("TABLE_WTL[@[" &amp; X$4 &amp; "]]")))</f>
        <v>0</v>
      </c>
      <c r="Y37" s="120">
        <f t="shared" si="8"/>
        <v>0</v>
      </c>
      <c r="Z37" s="160">
        <v>0</v>
      </c>
      <c r="AA37" s="109" cm="1">
        <f t="array" aca="1" ref="AA37" ca="1">IF(Z$3="None",0,(INDIRECT("TABLE_WTL[@[" &amp; AA$4 &amp; "]]")))</f>
        <v>0</v>
      </c>
      <c r="AB37" s="120">
        <f t="shared" si="9"/>
        <v>0</v>
      </c>
      <c r="AC37" s="160">
        <v>0</v>
      </c>
      <c r="AD37" s="109" cm="1">
        <f t="array" aca="1" ref="AD37" ca="1">IF(AC$3="None",0,(INDIRECT("TABLE_WTL[@[" &amp; AD$4 &amp; "]]")))</f>
        <v>150</v>
      </c>
      <c r="AE37" s="120">
        <f t="shared" si="10"/>
        <v>0</v>
      </c>
      <c r="AF37" s="160">
        <v>0</v>
      </c>
      <c r="AG37" s="109" cm="1">
        <f t="array" aca="1" ref="AG37" ca="1">IF(AF$3="None",0,(INDIRECT("TABLE_WTL[@[" &amp; AG$4 &amp; "]]")))</f>
        <v>0</v>
      </c>
      <c r="AH37" s="120">
        <f t="shared" si="11"/>
        <v>0</v>
      </c>
      <c r="AI37" s="160">
        <v>0</v>
      </c>
      <c r="AJ37" s="109" cm="1">
        <f t="array" aca="1" ref="AJ37" ca="1">IF(AI$3="None",0,(INDIRECT("TABLE_WTL[@[" &amp; AJ$4 &amp; "]]")))</f>
        <v>0</v>
      </c>
      <c r="AK37" s="120">
        <f t="shared" si="12"/>
        <v>0</v>
      </c>
      <c r="AL37" s="160">
        <v>0</v>
      </c>
      <c r="AM37" s="109" cm="1">
        <f t="array" aca="1" ref="AM37" ca="1">IF(AL$3="None",0,(INDIRECT("TABLE_WTL[@[" &amp; AM$4 &amp; "]]")))</f>
        <v>0</v>
      </c>
      <c r="AN37" s="120">
        <f t="shared" si="13"/>
        <v>0</v>
      </c>
      <c r="AO37" s="160">
        <v>0</v>
      </c>
      <c r="AP37" s="109" cm="1">
        <f t="array" aca="1" ref="AP37" ca="1">IF(AO$3="None",0,(INDIRECT("TABLE_WTL[@[" &amp; AP$4 &amp; "]]")))</f>
        <v>0</v>
      </c>
      <c r="AQ37" s="121"/>
      <c r="AR37" s="164"/>
      <c r="AS37" s="168"/>
      <c r="AT37" s="168"/>
      <c r="AU37" s="168"/>
      <c r="AV37" s="168"/>
      <c r="AW37" s="168"/>
      <c r="AX37" s="169"/>
      <c r="AY37" s="121"/>
      <c r="AZ37" s="190"/>
      <c r="BA37" s="71"/>
      <c r="BB37" s="180"/>
      <c r="BC37" s="181"/>
      <c r="BD37" s="181"/>
      <c r="BE37" s="181"/>
      <c r="BF37" s="181"/>
      <c r="BG37" s="181"/>
      <c r="BH37" s="181"/>
      <c r="BI37" s="182"/>
      <c r="BJ37" s="71"/>
      <c r="BK37" s="111">
        <f>N37/ATP_Conditions!$C$7</f>
        <v>6.8571428571428568</v>
      </c>
    </row>
    <row r="38" spans="1:63" ht="15" thickBot="1" x14ac:dyDescent="0.4">
      <c r="A38" s="31">
        <f t="shared" ref="A38:A56" si="17">A37+1</f>
        <v>34</v>
      </c>
      <c r="B38" s="112">
        <f t="shared" si="1"/>
        <v>35</v>
      </c>
      <c r="C38" s="113">
        <f t="shared" si="14"/>
        <v>46258</v>
      </c>
      <c r="D38" s="114" t="str">
        <f t="shared" si="2"/>
        <v>35-2026</v>
      </c>
      <c r="E38" s="115" t="str">
        <f>_xlfn.IFNA(VLOOKUP(D38,'Race-calendar'!D:F,2,FALSE),"-")</f>
        <v>Crosstriatlon Renkum</v>
      </c>
      <c r="F38" s="112" t="str">
        <f>_xlfn.IFNA(VLOOKUP($D38,'Race-calendar'!$D:$F,3,FALSE),"-")</f>
        <v>A</v>
      </c>
      <c r="G38" s="116">
        <f>_xlfn.IFNA(VLOOKUP(D38,'Race-calendar'!D:H,4,FALSE),"-")</f>
        <v>46263</v>
      </c>
      <c r="H38" s="117"/>
      <c r="I38" s="154" t="s">
        <v>1</v>
      </c>
      <c r="J38" s="157"/>
      <c r="K38" s="156" t="str">
        <f t="shared" si="15"/>
        <v>Race</v>
      </c>
      <c r="L38" s="118"/>
      <c r="M38" s="114"/>
      <c r="N38" s="119">
        <f>VLOOKUP(K38,ATP_Conditions!M:N,2,FALSE)</f>
        <v>400</v>
      </c>
      <c r="O38" s="31">
        <f>SUM(T38,W38,Z38,AC38,AF38,AI38,AL38,AO38)+ATP_Conditions!$C$6</f>
        <v>0</v>
      </c>
      <c r="P38" s="32">
        <f t="shared" ca="1" si="16"/>
        <v>150</v>
      </c>
      <c r="Q38" s="106">
        <f t="shared" ref="Q38:Q56" si="18">O38-N38</f>
        <v>-400</v>
      </c>
      <c r="R38" s="107">
        <f t="shared" ca="1" si="5"/>
        <v>-250</v>
      </c>
      <c r="S38" s="120">
        <f t="shared" si="6"/>
        <v>0</v>
      </c>
      <c r="T38" s="160">
        <v>0</v>
      </c>
      <c r="U38" s="109" cm="1">
        <f t="array" aca="1" ref="U38" ca="1">IF(T$3="None",0,(INDIRECT("TABLE_WTL[@[" &amp; U$4 &amp; "]]")))</f>
        <v>0</v>
      </c>
      <c r="V38" s="120">
        <f t="shared" si="7"/>
        <v>0</v>
      </c>
      <c r="W38" s="160">
        <v>0</v>
      </c>
      <c r="X38" s="109" cm="1">
        <f t="array" aca="1" ref="X38" ca="1">IF(W$3="None",0,(INDIRECT("TABLE_WTL[@[" &amp; X$4 &amp; "]]")))</f>
        <v>0</v>
      </c>
      <c r="Y38" s="120">
        <f t="shared" si="8"/>
        <v>0</v>
      </c>
      <c r="Z38" s="160">
        <v>0</v>
      </c>
      <c r="AA38" s="109" cm="1">
        <f t="array" aca="1" ref="AA38" ca="1">IF(Z$3="None",0,(INDIRECT("TABLE_WTL[@[" &amp; AA$4 &amp; "]]")))</f>
        <v>0</v>
      </c>
      <c r="AB38" s="120">
        <f t="shared" si="9"/>
        <v>0</v>
      </c>
      <c r="AC38" s="160">
        <v>0</v>
      </c>
      <c r="AD38" s="109" cm="1">
        <f t="array" aca="1" ref="AD38" ca="1">IF(AC$3="None",0,(INDIRECT("TABLE_WTL[@[" &amp; AD$4 &amp; "]]")))</f>
        <v>150</v>
      </c>
      <c r="AE38" s="120">
        <f t="shared" si="10"/>
        <v>0</v>
      </c>
      <c r="AF38" s="160">
        <v>0</v>
      </c>
      <c r="AG38" s="109" cm="1">
        <f t="array" aca="1" ref="AG38" ca="1">IF(AF$3="None",0,(INDIRECT("TABLE_WTL[@[" &amp; AG$4 &amp; "]]")))</f>
        <v>0</v>
      </c>
      <c r="AH38" s="120">
        <f t="shared" si="11"/>
        <v>0</v>
      </c>
      <c r="AI38" s="160">
        <v>0</v>
      </c>
      <c r="AJ38" s="109" cm="1">
        <f t="array" aca="1" ref="AJ38" ca="1">IF(AI$3="None",0,(INDIRECT("TABLE_WTL[@[" &amp; AJ$4 &amp; "]]")))</f>
        <v>0</v>
      </c>
      <c r="AK38" s="120">
        <f t="shared" si="12"/>
        <v>0</v>
      </c>
      <c r="AL38" s="160">
        <v>0</v>
      </c>
      <c r="AM38" s="109" cm="1">
        <f t="array" aca="1" ref="AM38" ca="1">IF(AL$3="None",0,(INDIRECT("TABLE_WTL[@[" &amp; AM$4 &amp; "]]")))</f>
        <v>0</v>
      </c>
      <c r="AN38" s="120">
        <f t="shared" si="13"/>
        <v>0</v>
      </c>
      <c r="AO38" s="160">
        <v>0</v>
      </c>
      <c r="AP38" s="109" cm="1">
        <f t="array" aca="1" ref="AP38" ca="1">IF(AO$3="None",0,(INDIRECT("TABLE_WTL[@[" &amp; AP$4 &amp; "]]")))</f>
        <v>0</v>
      </c>
      <c r="AQ38" s="121"/>
      <c r="AR38" s="164"/>
      <c r="AS38" s="168"/>
      <c r="AT38" s="168"/>
      <c r="AU38" s="168"/>
      <c r="AV38" s="168"/>
      <c r="AW38" s="168"/>
      <c r="AX38" s="169"/>
      <c r="AY38" s="121"/>
      <c r="AZ38" s="190"/>
      <c r="BA38" s="71"/>
      <c r="BB38" s="180"/>
      <c r="BC38" s="181"/>
      <c r="BD38" s="181"/>
      <c r="BE38" s="181"/>
      <c r="BF38" s="181"/>
      <c r="BG38" s="181"/>
      <c r="BH38" s="181"/>
      <c r="BI38" s="182"/>
      <c r="BJ38" s="71"/>
      <c r="BK38" s="111">
        <f>N38/ATP_Conditions!$C$7</f>
        <v>5.7142857142857144</v>
      </c>
    </row>
    <row r="39" spans="1:63" ht="15" thickBot="1" x14ac:dyDescent="0.4">
      <c r="A39" s="31">
        <f t="shared" si="17"/>
        <v>35</v>
      </c>
      <c r="B39" s="112">
        <f t="shared" si="1"/>
        <v>36</v>
      </c>
      <c r="C39" s="113">
        <f t="shared" si="14"/>
        <v>46265</v>
      </c>
      <c r="D39" s="114" t="str">
        <f t="shared" si="2"/>
        <v>36-2026</v>
      </c>
      <c r="E39" s="115" t="str">
        <f>_xlfn.IFNA(VLOOKUP(D39,'Race-calendar'!D:F,2,FALSE),"-")</f>
        <v>-</v>
      </c>
      <c r="F39" s="112" t="str">
        <f>_xlfn.IFNA(VLOOKUP($D39,'Race-calendar'!$D:$F,3,FALSE),"-")</f>
        <v>-</v>
      </c>
      <c r="G39" s="116" t="str">
        <f>_xlfn.IFNA(VLOOKUP(D39,'Race-calendar'!D:H,4,FALSE),"-")</f>
        <v>-</v>
      </c>
      <c r="H39" s="117"/>
      <c r="I39" s="154" t="s">
        <v>83</v>
      </c>
      <c r="J39" s="157"/>
      <c r="K39" s="156" t="str">
        <f t="shared" si="15"/>
        <v>Trans</v>
      </c>
      <c r="L39" s="118"/>
      <c r="M39" s="114"/>
      <c r="N39" s="119">
        <f>VLOOKUP(K39,ATP_Conditions!M:N,2,FALSE)</f>
        <v>250</v>
      </c>
      <c r="O39" s="31">
        <f>SUM(T39,W39,Z39,AC39,AF39,AI39,AL39,AO39)+ATP_Conditions!$C$6</f>
        <v>0</v>
      </c>
      <c r="P39" s="32">
        <f t="shared" ca="1" si="16"/>
        <v>150</v>
      </c>
      <c r="Q39" s="106">
        <f t="shared" si="18"/>
        <v>-250</v>
      </c>
      <c r="R39" s="107">
        <f t="shared" ca="1" si="5"/>
        <v>-100</v>
      </c>
      <c r="S39" s="120">
        <f t="shared" si="6"/>
        <v>0</v>
      </c>
      <c r="T39" s="160">
        <v>0</v>
      </c>
      <c r="U39" s="109" cm="1">
        <f t="array" aca="1" ref="U39" ca="1">IF(T$3="None",0,(INDIRECT("TABLE_WTL[@[" &amp; U$4 &amp; "]]")))</f>
        <v>0</v>
      </c>
      <c r="V39" s="120">
        <f t="shared" si="7"/>
        <v>0</v>
      </c>
      <c r="W39" s="160">
        <v>0</v>
      </c>
      <c r="X39" s="109" cm="1">
        <f t="array" aca="1" ref="X39" ca="1">IF(W$3="None",0,(INDIRECT("TABLE_WTL[@[" &amp; X$4 &amp; "]]")))</f>
        <v>0</v>
      </c>
      <c r="Y39" s="120">
        <f t="shared" si="8"/>
        <v>0</v>
      </c>
      <c r="Z39" s="160">
        <v>0</v>
      </c>
      <c r="AA39" s="109" cm="1">
        <f t="array" aca="1" ref="AA39" ca="1">IF(Z$3="None",0,(INDIRECT("TABLE_WTL[@[" &amp; AA$4 &amp; "]]")))</f>
        <v>0</v>
      </c>
      <c r="AB39" s="120">
        <f t="shared" si="9"/>
        <v>0</v>
      </c>
      <c r="AC39" s="160">
        <v>0</v>
      </c>
      <c r="AD39" s="109" cm="1">
        <f t="array" aca="1" ref="AD39" ca="1">IF(AC$3="None",0,(INDIRECT("TABLE_WTL[@[" &amp; AD$4 &amp; "]]")))</f>
        <v>150</v>
      </c>
      <c r="AE39" s="120">
        <f t="shared" si="10"/>
        <v>0</v>
      </c>
      <c r="AF39" s="160">
        <v>0</v>
      </c>
      <c r="AG39" s="109" cm="1">
        <f t="array" aca="1" ref="AG39" ca="1">IF(AF$3="None",0,(INDIRECT("TABLE_WTL[@[" &amp; AG$4 &amp; "]]")))</f>
        <v>0</v>
      </c>
      <c r="AH39" s="120">
        <f t="shared" si="11"/>
        <v>0</v>
      </c>
      <c r="AI39" s="160">
        <v>0</v>
      </c>
      <c r="AJ39" s="109" cm="1">
        <f t="array" aca="1" ref="AJ39" ca="1">IF(AI$3="None",0,(INDIRECT("TABLE_WTL[@[" &amp; AJ$4 &amp; "]]")))</f>
        <v>0</v>
      </c>
      <c r="AK39" s="120">
        <f t="shared" si="12"/>
        <v>0</v>
      </c>
      <c r="AL39" s="160">
        <v>0</v>
      </c>
      <c r="AM39" s="109" cm="1">
        <f t="array" aca="1" ref="AM39" ca="1">IF(AL$3="None",0,(INDIRECT("TABLE_WTL[@[" &amp; AM$4 &amp; "]]")))</f>
        <v>0</v>
      </c>
      <c r="AN39" s="120">
        <f t="shared" si="13"/>
        <v>0</v>
      </c>
      <c r="AO39" s="160">
        <v>0</v>
      </c>
      <c r="AP39" s="109" cm="1">
        <f t="array" aca="1" ref="AP39" ca="1">IF(AO$3="None",0,(INDIRECT("TABLE_WTL[@[" &amp; AP$4 &amp; "]]")))</f>
        <v>0</v>
      </c>
      <c r="AQ39" s="121"/>
      <c r="AR39" s="164"/>
      <c r="AS39" s="168"/>
      <c r="AT39" s="168"/>
      <c r="AU39" s="168"/>
      <c r="AV39" s="168"/>
      <c r="AW39" s="168"/>
      <c r="AX39" s="169"/>
      <c r="AY39" s="121"/>
      <c r="AZ39" s="190"/>
      <c r="BA39" s="71"/>
      <c r="BB39" s="180"/>
      <c r="BC39" s="181"/>
      <c r="BD39" s="181"/>
      <c r="BE39" s="181"/>
      <c r="BF39" s="181"/>
      <c r="BG39" s="181"/>
      <c r="BH39" s="181"/>
      <c r="BI39" s="182"/>
      <c r="BJ39" s="71"/>
      <c r="BK39" s="111">
        <f>N39/ATP_Conditions!$C$7</f>
        <v>3.5714285714285716</v>
      </c>
    </row>
    <row r="40" spans="1:63" ht="15" thickBot="1" x14ac:dyDescent="0.4">
      <c r="A40" s="31">
        <f t="shared" si="17"/>
        <v>36</v>
      </c>
      <c r="B40" s="112">
        <f t="shared" si="1"/>
        <v>37</v>
      </c>
      <c r="C40" s="113">
        <f t="shared" si="14"/>
        <v>46272</v>
      </c>
      <c r="D40" s="114" t="str">
        <f t="shared" si="2"/>
        <v>37-2026</v>
      </c>
      <c r="E40" s="115" t="str">
        <f>_xlfn.IFNA(VLOOKUP(D40,'Race-calendar'!D:F,2,FALSE),"-")</f>
        <v>-</v>
      </c>
      <c r="F40" s="112" t="str">
        <f>_xlfn.IFNA(VLOOKUP($D40,'Race-calendar'!$D:$F,3,FALSE),"-")</f>
        <v>-</v>
      </c>
      <c r="G40" s="116" t="str">
        <f>_xlfn.IFNA(VLOOKUP(D40,'Race-calendar'!D:H,4,FALSE),"-")</f>
        <v>-</v>
      </c>
      <c r="H40" s="117"/>
      <c r="I40" s="154" t="s">
        <v>83</v>
      </c>
      <c r="J40" s="157"/>
      <c r="K40" s="156" t="str">
        <f t="shared" si="15"/>
        <v>Trans</v>
      </c>
      <c r="L40" s="118"/>
      <c r="M40" s="114"/>
      <c r="N40" s="119">
        <f>VLOOKUP(K40,ATP_Conditions!M:N,2,FALSE)</f>
        <v>250</v>
      </c>
      <c r="O40" s="31">
        <f>SUM(T40,W40,Z40,AC40,AF40,AI40,AL40,AO40)+ATP_Conditions!$C$6</f>
        <v>0</v>
      </c>
      <c r="P40" s="32">
        <f t="shared" ca="1" si="16"/>
        <v>150</v>
      </c>
      <c r="Q40" s="106">
        <f t="shared" si="18"/>
        <v>-250</v>
      </c>
      <c r="R40" s="107">
        <f t="shared" ca="1" si="5"/>
        <v>-100</v>
      </c>
      <c r="S40" s="120">
        <f t="shared" si="6"/>
        <v>0</v>
      </c>
      <c r="T40" s="160">
        <v>0</v>
      </c>
      <c r="U40" s="109" cm="1">
        <f t="array" aca="1" ref="U40" ca="1">IF(T$3="None",0,(INDIRECT("TABLE_WTL[@[" &amp; U$4 &amp; "]]")))</f>
        <v>0</v>
      </c>
      <c r="V40" s="120">
        <f t="shared" si="7"/>
        <v>0</v>
      </c>
      <c r="W40" s="160">
        <v>0</v>
      </c>
      <c r="X40" s="109" cm="1">
        <f t="array" aca="1" ref="X40" ca="1">IF(W$3="None",0,(INDIRECT("TABLE_WTL[@[" &amp; X$4 &amp; "]]")))</f>
        <v>0</v>
      </c>
      <c r="Y40" s="120">
        <f t="shared" si="8"/>
        <v>0</v>
      </c>
      <c r="Z40" s="160">
        <v>0</v>
      </c>
      <c r="AA40" s="109" cm="1">
        <f t="array" aca="1" ref="AA40" ca="1">IF(Z$3="None",0,(INDIRECT("TABLE_WTL[@[" &amp; AA$4 &amp; "]]")))</f>
        <v>0</v>
      </c>
      <c r="AB40" s="120">
        <f t="shared" si="9"/>
        <v>0</v>
      </c>
      <c r="AC40" s="160">
        <v>0</v>
      </c>
      <c r="AD40" s="109" cm="1">
        <f t="array" aca="1" ref="AD40" ca="1">IF(AC$3="None",0,(INDIRECT("TABLE_WTL[@[" &amp; AD$4 &amp; "]]")))</f>
        <v>150</v>
      </c>
      <c r="AE40" s="120">
        <f t="shared" si="10"/>
        <v>0</v>
      </c>
      <c r="AF40" s="160">
        <v>0</v>
      </c>
      <c r="AG40" s="109" cm="1">
        <f t="array" aca="1" ref="AG40" ca="1">IF(AF$3="None",0,(INDIRECT("TABLE_WTL[@[" &amp; AG$4 &amp; "]]")))</f>
        <v>0</v>
      </c>
      <c r="AH40" s="120">
        <f t="shared" si="11"/>
        <v>0</v>
      </c>
      <c r="AI40" s="160">
        <v>0</v>
      </c>
      <c r="AJ40" s="109" cm="1">
        <f t="array" aca="1" ref="AJ40" ca="1">IF(AI$3="None",0,(INDIRECT("TABLE_WTL[@[" &amp; AJ$4 &amp; "]]")))</f>
        <v>0</v>
      </c>
      <c r="AK40" s="120">
        <f t="shared" si="12"/>
        <v>0</v>
      </c>
      <c r="AL40" s="160">
        <v>0</v>
      </c>
      <c r="AM40" s="109" cm="1">
        <f t="array" aca="1" ref="AM40" ca="1">IF(AL$3="None",0,(INDIRECT("TABLE_WTL[@[" &amp; AM$4 &amp; "]]")))</f>
        <v>0</v>
      </c>
      <c r="AN40" s="120">
        <f t="shared" si="13"/>
        <v>0</v>
      </c>
      <c r="AO40" s="160">
        <v>0</v>
      </c>
      <c r="AP40" s="109" cm="1">
        <f t="array" aca="1" ref="AP40" ca="1">IF(AO$3="None",0,(INDIRECT("TABLE_WTL[@[" &amp; AP$4 &amp; "]]")))</f>
        <v>0</v>
      </c>
      <c r="AQ40" s="121"/>
      <c r="AR40" s="164"/>
      <c r="AS40" s="168"/>
      <c r="AT40" s="168"/>
      <c r="AU40" s="168"/>
      <c r="AV40" s="168"/>
      <c r="AW40" s="168"/>
      <c r="AX40" s="169"/>
      <c r="AY40" s="121"/>
      <c r="AZ40" s="190"/>
      <c r="BA40" s="71"/>
      <c r="BB40" s="180"/>
      <c r="BC40" s="181"/>
      <c r="BD40" s="181"/>
      <c r="BE40" s="181"/>
      <c r="BF40" s="181"/>
      <c r="BG40" s="181"/>
      <c r="BH40" s="181"/>
      <c r="BI40" s="182"/>
      <c r="BJ40" s="71"/>
      <c r="BK40" s="111">
        <f>N40/ATP_Conditions!$C$7</f>
        <v>3.5714285714285716</v>
      </c>
    </row>
    <row r="41" spans="1:63" ht="15" thickBot="1" x14ac:dyDescent="0.4">
      <c r="A41" s="31">
        <f t="shared" si="17"/>
        <v>37</v>
      </c>
      <c r="B41" s="112">
        <f t="shared" si="1"/>
        <v>38</v>
      </c>
      <c r="C41" s="113">
        <f t="shared" si="14"/>
        <v>46279</v>
      </c>
      <c r="D41" s="114" t="str">
        <f t="shared" si="2"/>
        <v>38-2026</v>
      </c>
      <c r="E41" s="115" t="str">
        <f>_xlfn.IFNA(VLOOKUP(D41,'Race-calendar'!D:F,2,FALSE),"-")</f>
        <v>-</v>
      </c>
      <c r="F41" s="112" t="str">
        <f>_xlfn.IFNA(VLOOKUP($D41,'Race-calendar'!$D:$F,3,FALSE),"-")</f>
        <v>-</v>
      </c>
      <c r="G41" s="116" t="str">
        <f>_xlfn.IFNA(VLOOKUP(D41,'Race-calendar'!D:H,4,FALSE),"-")</f>
        <v>-</v>
      </c>
      <c r="H41" s="117"/>
      <c r="I41" s="154" t="s">
        <v>83</v>
      </c>
      <c r="J41" s="157"/>
      <c r="K41" s="156" t="str">
        <f t="shared" si="15"/>
        <v>Trans</v>
      </c>
      <c r="L41" s="118"/>
      <c r="M41" s="114"/>
      <c r="N41" s="119">
        <f>VLOOKUP(K41,ATP_Conditions!M:N,2,FALSE)</f>
        <v>250</v>
      </c>
      <c r="O41" s="31">
        <f>SUM(T41,W41,Z41,AC41,AF41,AI41,AL41,AO41)+ATP_Conditions!$C$6</f>
        <v>0</v>
      </c>
      <c r="P41" s="32">
        <f t="shared" ca="1" si="16"/>
        <v>0</v>
      </c>
      <c r="Q41" s="106">
        <f t="shared" si="18"/>
        <v>-250</v>
      </c>
      <c r="R41" s="107">
        <f t="shared" ca="1" si="5"/>
        <v>-250</v>
      </c>
      <c r="S41" s="120">
        <f t="shared" si="6"/>
        <v>0</v>
      </c>
      <c r="T41" s="160">
        <v>0</v>
      </c>
      <c r="U41" s="109" cm="1">
        <f t="array" aca="1" ref="U41" ca="1">IF(T$3="None",0,(INDIRECT("TABLE_WTL[@[" &amp; U$4 &amp; "]]")))</f>
        <v>0</v>
      </c>
      <c r="V41" s="120">
        <f t="shared" si="7"/>
        <v>0</v>
      </c>
      <c r="W41" s="160">
        <v>0</v>
      </c>
      <c r="X41" s="109" cm="1">
        <f t="array" aca="1" ref="X41" ca="1">IF(W$3="None",0,(INDIRECT("TABLE_WTL[@[" &amp; X$4 &amp; "]]")))</f>
        <v>0</v>
      </c>
      <c r="Y41" s="120">
        <f t="shared" si="8"/>
        <v>0</v>
      </c>
      <c r="Z41" s="160">
        <v>0</v>
      </c>
      <c r="AA41" s="109" cm="1">
        <f t="array" aca="1" ref="AA41" ca="1">IF(Z$3="None",0,(INDIRECT("TABLE_WTL[@[" &amp; AA$4 &amp; "]]")))</f>
        <v>0</v>
      </c>
      <c r="AB41" s="120">
        <f t="shared" si="9"/>
        <v>0</v>
      </c>
      <c r="AC41" s="160">
        <v>0</v>
      </c>
      <c r="AD41" s="109" cm="1">
        <f t="array" aca="1" ref="AD41" ca="1">IF(AC$3="None",0,(INDIRECT("TABLE_WTL[@[" &amp; AD$4 &amp; "]]")))</f>
        <v>0</v>
      </c>
      <c r="AE41" s="120">
        <f t="shared" si="10"/>
        <v>0</v>
      </c>
      <c r="AF41" s="160">
        <v>0</v>
      </c>
      <c r="AG41" s="109" cm="1">
        <f t="array" aca="1" ref="AG41" ca="1">IF(AF$3="None",0,(INDIRECT("TABLE_WTL[@[" &amp; AG$4 &amp; "]]")))</f>
        <v>0</v>
      </c>
      <c r="AH41" s="120">
        <f t="shared" si="11"/>
        <v>0</v>
      </c>
      <c r="AI41" s="160">
        <v>0</v>
      </c>
      <c r="AJ41" s="109" cm="1">
        <f t="array" aca="1" ref="AJ41" ca="1">IF(AI$3="None",0,(INDIRECT("TABLE_WTL[@[" &amp; AJ$4 &amp; "]]")))</f>
        <v>0</v>
      </c>
      <c r="AK41" s="120">
        <f t="shared" si="12"/>
        <v>0</v>
      </c>
      <c r="AL41" s="160">
        <v>0</v>
      </c>
      <c r="AM41" s="109" cm="1">
        <f t="array" aca="1" ref="AM41" ca="1">IF(AL$3="None",0,(INDIRECT("TABLE_WTL[@[" &amp; AM$4 &amp; "]]")))</f>
        <v>0</v>
      </c>
      <c r="AN41" s="120">
        <f t="shared" si="13"/>
        <v>0</v>
      </c>
      <c r="AO41" s="160">
        <v>0</v>
      </c>
      <c r="AP41" s="109" cm="1">
        <f t="array" aca="1" ref="AP41" ca="1">IF(AO$3="None",0,(INDIRECT("TABLE_WTL[@[" &amp; AP$4 &amp; "]]")))</f>
        <v>0</v>
      </c>
      <c r="AQ41" s="121"/>
      <c r="AR41" s="164"/>
      <c r="AS41" s="168"/>
      <c r="AT41" s="168"/>
      <c r="AU41" s="168"/>
      <c r="AV41" s="168"/>
      <c r="AW41" s="168"/>
      <c r="AX41" s="169"/>
      <c r="AY41" s="121"/>
      <c r="AZ41" s="190"/>
      <c r="BA41" s="71"/>
      <c r="BB41" s="180"/>
      <c r="BC41" s="181"/>
      <c r="BD41" s="181"/>
      <c r="BE41" s="181"/>
      <c r="BF41" s="181"/>
      <c r="BG41" s="181"/>
      <c r="BH41" s="181"/>
      <c r="BI41" s="182"/>
      <c r="BJ41" s="71"/>
      <c r="BK41" s="111">
        <f>N41/ATP_Conditions!$C$7</f>
        <v>3.5714285714285716</v>
      </c>
    </row>
    <row r="42" spans="1:63" ht="15" thickBot="1" x14ac:dyDescent="0.4">
      <c r="A42" s="31">
        <f t="shared" si="17"/>
        <v>38</v>
      </c>
      <c r="B42" s="112">
        <f t="shared" si="1"/>
        <v>39</v>
      </c>
      <c r="C42" s="113">
        <f t="shared" si="14"/>
        <v>46286</v>
      </c>
      <c r="D42" s="114" t="str">
        <f t="shared" si="2"/>
        <v>39-2026</v>
      </c>
      <c r="E42" s="115" t="str">
        <f>_xlfn.IFNA(VLOOKUP(D42,'Race-calendar'!D:F,2,FALSE),"-")</f>
        <v>-</v>
      </c>
      <c r="F42" s="112" t="str">
        <f>_xlfn.IFNA(VLOOKUP($D42,'Race-calendar'!$D:$F,3,FALSE),"-")</f>
        <v>-</v>
      </c>
      <c r="G42" s="116" t="str">
        <f>_xlfn.IFNA(VLOOKUP(D42,'Race-calendar'!D:H,4,FALSE),"-")</f>
        <v>-</v>
      </c>
      <c r="H42" s="117"/>
      <c r="I42" s="154" t="s">
        <v>83</v>
      </c>
      <c r="J42" s="157"/>
      <c r="K42" s="156" t="str">
        <f t="shared" si="15"/>
        <v>Trans</v>
      </c>
      <c r="L42" s="118"/>
      <c r="M42" s="114"/>
      <c r="N42" s="119">
        <f>VLOOKUP(K42,ATP_Conditions!M:N,2,FALSE)</f>
        <v>250</v>
      </c>
      <c r="O42" s="31">
        <f>SUM(T42,W42,Z42,AC42,AF42,AI42,AL42,AO42)+ATP_Conditions!$C$6</f>
        <v>0</v>
      </c>
      <c r="P42" s="32">
        <f t="shared" ca="1" si="16"/>
        <v>0</v>
      </c>
      <c r="Q42" s="106">
        <f t="shared" si="18"/>
        <v>-250</v>
      </c>
      <c r="R42" s="107">
        <f t="shared" ca="1" si="5"/>
        <v>-250</v>
      </c>
      <c r="S42" s="120">
        <f t="shared" si="6"/>
        <v>0</v>
      </c>
      <c r="T42" s="160">
        <v>0</v>
      </c>
      <c r="U42" s="109" cm="1">
        <f t="array" aca="1" ref="U42" ca="1">IF(T$3="None",0,(INDIRECT("TABLE_WTL[@[" &amp; U$4 &amp; "]]")))</f>
        <v>0</v>
      </c>
      <c r="V42" s="120">
        <f t="shared" si="7"/>
        <v>0</v>
      </c>
      <c r="W42" s="160">
        <v>0</v>
      </c>
      <c r="X42" s="109" cm="1">
        <f t="array" aca="1" ref="X42" ca="1">IF(W$3="None",0,(INDIRECT("TABLE_WTL[@[" &amp; X$4 &amp; "]]")))</f>
        <v>0</v>
      </c>
      <c r="Y42" s="120">
        <f t="shared" si="8"/>
        <v>0</v>
      </c>
      <c r="Z42" s="160">
        <v>0</v>
      </c>
      <c r="AA42" s="109" cm="1">
        <f t="array" aca="1" ref="AA42" ca="1">IF(Z$3="None",0,(INDIRECT("TABLE_WTL[@[" &amp; AA$4 &amp; "]]")))</f>
        <v>0</v>
      </c>
      <c r="AB42" s="120">
        <f t="shared" si="9"/>
        <v>0</v>
      </c>
      <c r="AC42" s="160">
        <v>0</v>
      </c>
      <c r="AD42" s="109" cm="1">
        <f t="array" aca="1" ref="AD42" ca="1">IF(AC$3="None",0,(INDIRECT("TABLE_WTL[@[" &amp; AD$4 &amp; "]]")))</f>
        <v>0</v>
      </c>
      <c r="AE42" s="120">
        <f t="shared" si="10"/>
        <v>0</v>
      </c>
      <c r="AF42" s="160">
        <v>0</v>
      </c>
      <c r="AG42" s="109" cm="1">
        <f t="array" aca="1" ref="AG42" ca="1">IF(AF$3="None",0,(INDIRECT("TABLE_WTL[@[" &amp; AG$4 &amp; "]]")))</f>
        <v>0</v>
      </c>
      <c r="AH42" s="120">
        <f t="shared" si="11"/>
        <v>0</v>
      </c>
      <c r="AI42" s="160">
        <v>0</v>
      </c>
      <c r="AJ42" s="109" cm="1">
        <f t="array" aca="1" ref="AJ42" ca="1">IF(AI$3="None",0,(INDIRECT("TABLE_WTL[@[" &amp; AJ$4 &amp; "]]")))</f>
        <v>0</v>
      </c>
      <c r="AK42" s="120">
        <f t="shared" si="12"/>
        <v>0</v>
      </c>
      <c r="AL42" s="160">
        <v>0</v>
      </c>
      <c r="AM42" s="109" cm="1">
        <f t="array" aca="1" ref="AM42" ca="1">IF(AL$3="None",0,(INDIRECT("TABLE_WTL[@[" &amp; AM$4 &amp; "]]")))</f>
        <v>0</v>
      </c>
      <c r="AN42" s="120">
        <f t="shared" si="13"/>
        <v>0</v>
      </c>
      <c r="AO42" s="160">
        <v>0</v>
      </c>
      <c r="AP42" s="109" cm="1">
        <f t="array" aca="1" ref="AP42" ca="1">IF(AO$3="None",0,(INDIRECT("TABLE_WTL[@[" &amp; AP$4 &amp; "]]")))</f>
        <v>0</v>
      </c>
      <c r="AQ42" s="121"/>
      <c r="AR42" s="164"/>
      <c r="AS42" s="168"/>
      <c r="AT42" s="168"/>
      <c r="AU42" s="168"/>
      <c r="AV42" s="168"/>
      <c r="AW42" s="168"/>
      <c r="AX42" s="169"/>
      <c r="AY42" s="121"/>
      <c r="AZ42" s="190"/>
      <c r="BA42" s="71"/>
      <c r="BB42" s="180"/>
      <c r="BC42" s="181"/>
      <c r="BD42" s="181"/>
      <c r="BE42" s="181"/>
      <c r="BF42" s="181"/>
      <c r="BG42" s="181"/>
      <c r="BH42" s="181"/>
      <c r="BI42" s="182"/>
      <c r="BJ42" s="71"/>
      <c r="BK42" s="111">
        <f>N42/ATP_Conditions!$C$7</f>
        <v>3.5714285714285716</v>
      </c>
    </row>
    <row r="43" spans="1:63" ht="15" thickBot="1" x14ac:dyDescent="0.4">
      <c r="A43" s="31">
        <f t="shared" si="17"/>
        <v>39</v>
      </c>
      <c r="B43" s="112">
        <f t="shared" si="1"/>
        <v>40</v>
      </c>
      <c r="C43" s="113">
        <f t="shared" si="14"/>
        <v>46293</v>
      </c>
      <c r="D43" s="114" t="str">
        <f t="shared" si="2"/>
        <v>40-2026</v>
      </c>
      <c r="E43" s="115" t="str">
        <f>_xlfn.IFNA(VLOOKUP(D43,'Race-calendar'!D:F,2,FALSE),"-")</f>
        <v>-</v>
      </c>
      <c r="F43" s="112" t="str">
        <f>_xlfn.IFNA(VLOOKUP($D43,'Race-calendar'!$D:$F,3,FALSE),"-")</f>
        <v>-</v>
      </c>
      <c r="G43" s="116" t="str">
        <f>_xlfn.IFNA(VLOOKUP(D43,'Race-calendar'!D:H,4,FALSE),"-")</f>
        <v>-</v>
      </c>
      <c r="H43" s="117"/>
      <c r="I43" s="154" t="s">
        <v>83</v>
      </c>
      <c r="J43" s="157"/>
      <c r="K43" s="156" t="str">
        <f t="shared" si="15"/>
        <v>Trans</v>
      </c>
      <c r="L43" s="118"/>
      <c r="M43" s="114"/>
      <c r="N43" s="119">
        <f>VLOOKUP(K43,ATP_Conditions!M:N,2,FALSE)</f>
        <v>250</v>
      </c>
      <c r="O43" s="31">
        <f>SUM(T43,W43,Z43,AC43,AF43,AI43,AL43,AO43)+ATP_Conditions!$C$6</f>
        <v>0</v>
      </c>
      <c r="P43" s="32">
        <f t="shared" ca="1" si="16"/>
        <v>0</v>
      </c>
      <c r="Q43" s="106">
        <f t="shared" si="18"/>
        <v>-250</v>
      </c>
      <c r="R43" s="107">
        <f t="shared" ca="1" si="5"/>
        <v>-250</v>
      </c>
      <c r="S43" s="120">
        <f t="shared" si="6"/>
        <v>0</v>
      </c>
      <c r="T43" s="160">
        <v>0</v>
      </c>
      <c r="U43" s="109" cm="1">
        <f t="array" aca="1" ref="U43" ca="1">IF(T$3="None",0,(INDIRECT("TABLE_WTL[@[" &amp; U$4 &amp; "]]")))</f>
        <v>0</v>
      </c>
      <c r="V43" s="120">
        <f t="shared" si="7"/>
        <v>0</v>
      </c>
      <c r="W43" s="160">
        <v>0</v>
      </c>
      <c r="X43" s="109" cm="1">
        <f t="array" aca="1" ref="X43" ca="1">IF(W$3="None",0,(INDIRECT("TABLE_WTL[@[" &amp; X$4 &amp; "]]")))</f>
        <v>0</v>
      </c>
      <c r="Y43" s="120">
        <f t="shared" si="8"/>
        <v>0</v>
      </c>
      <c r="Z43" s="160">
        <v>0</v>
      </c>
      <c r="AA43" s="109" cm="1">
        <f t="array" aca="1" ref="AA43" ca="1">IF(Z$3="None",0,(INDIRECT("TABLE_WTL[@[" &amp; AA$4 &amp; "]]")))</f>
        <v>0</v>
      </c>
      <c r="AB43" s="120">
        <f t="shared" si="9"/>
        <v>0</v>
      </c>
      <c r="AC43" s="160">
        <v>0</v>
      </c>
      <c r="AD43" s="109" cm="1">
        <f t="array" aca="1" ref="AD43" ca="1">IF(AC$3="None",0,(INDIRECT("TABLE_WTL[@[" &amp; AD$4 &amp; "]]")))</f>
        <v>0</v>
      </c>
      <c r="AE43" s="120">
        <f t="shared" si="10"/>
        <v>0</v>
      </c>
      <c r="AF43" s="160">
        <v>0</v>
      </c>
      <c r="AG43" s="109" cm="1">
        <f t="array" aca="1" ref="AG43" ca="1">IF(AF$3="None",0,(INDIRECT("TABLE_WTL[@[" &amp; AG$4 &amp; "]]")))</f>
        <v>0</v>
      </c>
      <c r="AH43" s="120">
        <f t="shared" si="11"/>
        <v>0</v>
      </c>
      <c r="AI43" s="160">
        <v>0</v>
      </c>
      <c r="AJ43" s="109" cm="1">
        <f t="array" aca="1" ref="AJ43" ca="1">IF(AI$3="None",0,(INDIRECT("TABLE_WTL[@[" &amp; AJ$4 &amp; "]]")))</f>
        <v>0</v>
      </c>
      <c r="AK43" s="120">
        <f t="shared" si="12"/>
        <v>0</v>
      </c>
      <c r="AL43" s="160">
        <v>0</v>
      </c>
      <c r="AM43" s="109" cm="1">
        <f t="array" aca="1" ref="AM43" ca="1">IF(AL$3="None",0,(INDIRECT("TABLE_WTL[@[" &amp; AM$4 &amp; "]]")))</f>
        <v>0</v>
      </c>
      <c r="AN43" s="120">
        <f t="shared" si="13"/>
        <v>0</v>
      </c>
      <c r="AO43" s="160">
        <v>0</v>
      </c>
      <c r="AP43" s="109" cm="1">
        <f t="array" aca="1" ref="AP43" ca="1">IF(AO$3="None",0,(INDIRECT("TABLE_WTL[@[" &amp; AP$4 &amp; "]]")))</f>
        <v>0</v>
      </c>
      <c r="AQ43" s="121"/>
      <c r="AR43" s="164"/>
      <c r="AS43" s="168"/>
      <c r="AT43" s="168"/>
      <c r="AU43" s="168"/>
      <c r="AV43" s="168"/>
      <c r="AW43" s="168"/>
      <c r="AX43" s="169"/>
      <c r="AY43" s="121"/>
      <c r="AZ43" s="190"/>
      <c r="BA43" s="71"/>
      <c r="BB43" s="180"/>
      <c r="BC43" s="181"/>
      <c r="BD43" s="181"/>
      <c r="BE43" s="181"/>
      <c r="BF43" s="181"/>
      <c r="BG43" s="181"/>
      <c r="BH43" s="181"/>
      <c r="BI43" s="182"/>
      <c r="BJ43" s="71"/>
      <c r="BK43" s="111">
        <f>N43/ATP_Conditions!$C$7</f>
        <v>3.5714285714285716</v>
      </c>
    </row>
    <row r="44" spans="1:63" ht="15" thickBot="1" x14ac:dyDescent="0.4">
      <c r="A44" s="31">
        <f t="shared" si="17"/>
        <v>40</v>
      </c>
      <c r="B44" s="112">
        <f t="shared" si="1"/>
        <v>41</v>
      </c>
      <c r="C44" s="113">
        <f t="shared" si="14"/>
        <v>46300</v>
      </c>
      <c r="D44" s="114" t="str">
        <f t="shared" si="2"/>
        <v>41-2026</v>
      </c>
      <c r="E44" s="115" t="str">
        <f>_xlfn.IFNA(VLOOKUP(D44,'Race-calendar'!D:F,2,FALSE),"-")</f>
        <v>-</v>
      </c>
      <c r="F44" s="112" t="str">
        <f>_xlfn.IFNA(VLOOKUP($D44,'Race-calendar'!$D:$F,3,FALSE),"-")</f>
        <v>-</v>
      </c>
      <c r="G44" s="116" t="str">
        <f>_xlfn.IFNA(VLOOKUP(D44,'Race-calendar'!D:H,4,FALSE),"-")</f>
        <v>-</v>
      </c>
      <c r="H44" s="117"/>
      <c r="I44" s="154" t="s">
        <v>83</v>
      </c>
      <c r="J44" s="157"/>
      <c r="K44" s="156" t="str">
        <f t="shared" si="15"/>
        <v>Trans</v>
      </c>
      <c r="L44" s="118"/>
      <c r="M44" s="114"/>
      <c r="N44" s="119">
        <f>VLOOKUP(K44,ATP_Conditions!M:N,2,FALSE)</f>
        <v>250</v>
      </c>
      <c r="O44" s="31">
        <f>SUM(T44,W44,Z44,AC44,AF44,AI44,AL44,AO44)+ATP_Conditions!$C$6</f>
        <v>0</v>
      </c>
      <c r="P44" s="32">
        <f t="shared" ca="1" si="16"/>
        <v>0</v>
      </c>
      <c r="Q44" s="106">
        <f t="shared" si="18"/>
        <v>-250</v>
      </c>
      <c r="R44" s="107">
        <f t="shared" ca="1" si="5"/>
        <v>-250</v>
      </c>
      <c r="S44" s="120">
        <f t="shared" si="6"/>
        <v>0</v>
      </c>
      <c r="T44" s="160">
        <v>0</v>
      </c>
      <c r="U44" s="109" cm="1">
        <f t="array" aca="1" ref="U44" ca="1">IF(T$3="None",0,(INDIRECT("TABLE_WTL[@[" &amp; U$4 &amp; "]]")))</f>
        <v>0</v>
      </c>
      <c r="V44" s="120">
        <f t="shared" si="7"/>
        <v>0</v>
      </c>
      <c r="W44" s="160">
        <v>0</v>
      </c>
      <c r="X44" s="109" cm="1">
        <f t="array" aca="1" ref="X44" ca="1">IF(W$3="None",0,(INDIRECT("TABLE_WTL[@[" &amp; X$4 &amp; "]]")))</f>
        <v>0</v>
      </c>
      <c r="Y44" s="120">
        <f t="shared" si="8"/>
        <v>0</v>
      </c>
      <c r="Z44" s="160">
        <v>0</v>
      </c>
      <c r="AA44" s="109" cm="1">
        <f t="array" aca="1" ref="AA44" ca="1">IF(Z$3="None",0,(INDIRECT("TABLE_WTL[@[" &amp; AA$4 &amp; "]]")))</f>
        <v>0</v>
      </c>
      <c r="AB44" s="120">
        <f t="shared" si="9"/>
        <v>0</v>
      </c>
      <c r="AC44" s="160">
        <v>0</v>
      </c>
      <c r="AD44" s="109" cm="1">
        <f t="array" aca="1" ref="AD44" ca="1">IF(AC$3="None",0,(INDIRECT("TABLE_WTL[@[" &amp; AD$4 &amp; "]]")))</f>
        <v>0</v>
      </c>
      <c r="AE44" s="120">
        <f t="shared" si="10"/>
        <v>0</v>
      </c>
      <c r="AF44" s="160">
        <v>0</v>
      </c>
      <c r="AG44" s="109" cm="1">
        <f t="array" aca="1" ref="AG44" ca="1">IF(AF$3="None",0,(INDIRECT("TABLE_WTL[@[" &amp; AG$4 &amp; "]]")))</f>
        <v>0</v>
      </c>
      <c r="AH44" s="120">
        <f t="shared" si="11"/>
        <v>0</v>
      </c>
      <c r="AI44" s="160">
        <v>0</v>
      </c>
      <c r="AJ44" s="109" cm="1">
        <f t="array" aca="1" ref="AJ44" ca="1">IF(AI$3="None",0,(INDIRECT("TABLE_WTL[@[" &amp; AJ$4 &amp; "]]")))</f>
        <v>0</v>
      </c>
      <c r="AK44" s="120">
        <f t="shared" si="12"/>
        <v>0</v>
      </c>
      <c r="AL44" s="160">
        <v>0</v>
      </c>
      <c r="AM44" s="109" cm="1">
        <f t="array" aca="1" ref="AM44" ca="1">IF(AL$3="None",0,(INDIRECT("TABLE_WTL[@[" &amp; AM$4 &amp; "]]")))</f>
        <v>0</v>
      </c>
      <c r="AN44" s="120">
        <f t="shared" si="13"/>
        <v>0</v>
      </c>
      <c r="AO44" s="160">
        <v>0</v>
      </c>
      <c r="AP44" s="109" cm="1">
        <f t="array" aca="1" ref="AP44" ca="1">IF(AO$3="None",0,(INDIRECT("TABLE_WTL[@[" &amp; AP$4 &amp; "]]")))</f>
        <v>0</v>
      </c>
      <c r="AQ44" s="121"/>
      <c r="AR44" s="164"/>
      <c r="AS44" s="168"/>
      <c r="AT44" s="168"/>
      <c r="AU44" s="168"/>
      <c r="AV44" s="168"/>
      <c r="AW44" s="168"/>
      <c r="AX44" s="169"/>
      <c r="AY44" s="121"/>
      <c r="AZ44" s="190"/>
      <c r="BA44" s="71"/>
      <c r="BB44" s="180"/>
      <c r="BC44" s="181"/>
      <c r="BD44" s="181"/>
      <c r="BE44" s="181"/>
      <c r="BF44" s="181"/>
      <c r="BG44" s="181"/>
      <c r="BH44" s="181"/>
      <c r="BI44" s="182"/>
      <c r="BJ44" s="71"/>
      <c r="BK44" s="111">
        <f>N44/ATP_Conditions!$C$7</f>
        <v>3.5714285714285716</v>
      </c>
    </row>
    <row r="45" spans="1:63" ht="15" thickBot="1" x14ac:dyDescent="0.4">
      <c r="A45" s="31">
        <f t="shared" si="17"/>
        <v>41</v>
      </c>
      <c r="B45" s="112">
        <f t="shared" si="1"/>
        <v>42</v>
      </c>
      <c r="C45" s="113">
        <f t="shared" si="14"/>
        <v>46307</v>
      </c>
      <c r="D45" s="114" t="str">
        <f t="shared" si="2"/>
        <v>42-2026</v>
      </c>
      <c r="E45" s="115" t="str">
        <f>_xlfn.IFNA(VLOOKUP(D45,'Race-calendar'!D:F,2,FALSE),"-")</f>
        <v>-</v>
      </c>
      <c r="F45" s="112" t="str">
        <f>_xlfn.IFNA(VLOOKUP($D45,'Race-calendar'!$D:$F,3,FALSE),"-")</f>
        <v>-</v>
      </c>
      <c r="G45" s="116" t="str">
        <f>_xlfn.IFNA(VLOOKUP(D45,'Race-calendar'!D:H,4,FALSE),"-")</f>
        <v>-</v>
      </c>
      <c r="H45" s="117"/>
      <c r="I45" s="154" t="s">
        <v>83</v>
      </c>
      <c r="J45" s="157"/>
      <c r="K45" s="156" t="str">
        <f t="shared" si="15"/>
        <v>Trans</v>
      </c>
      <c r="L45" s="118"/>
      <c r="M45" s="114"/>
      <c r="N45" s="119">
        <f>VLOOKUP(K45,ATP_Conditions!M:N,2,FALSE)</f>
        <v>250</v>
      </c>
      <c r="O45" s="31">
        <f>SUM(T45,W45,Z45,AC45,AF45,AI45,AL45,AO45)+ATP_Conditions!$C$6</f>
        <v>0</v>
      </c>
      <c r="P45" s="32">
        <f t="shared" ca="1" si="16"/>
        <v>0</v>
      </c>
      <c r="Q45" s="106">
        <f t="shared" si="18"/>
        <v>-250</v>
      </c>
      <c r="R45" s="107">
        <f t="shared" ca="1" si="5"/>
        <v>-250</v>
      </c>
      <c r="S45" s="120">
        <f t="shared" si="6"/>
        <v>0</v>
      </c>
      <c r="T45" s="160">
        <v>0</v>
      </c>
      <c r="U45" s="109" cm="1">
        <f t="array" aca="1" ref="U45" ca="1">IF(T$3="None",0,(INDIRECT("TABLE_WTL[@[" &amp; U$4 &amp; "]]")))</f>
        <v>0</v>
      </c>
      <c r="V45" s="120">
        <f t="shared" si="7"/>
        <v>0</v>
      </c>
      <c r="W45" s="160">
        <v>0</v>
      </c>
      <c r="X45" s="109" cm="1">
        <f t="array" aca="1" ref="X45" ca="1">IF(W$3="None",0,(INDIRECT("TABLE_WTL[@[" &amp; X$4 &amp; "]]")))</f>
        <v>0</v>
      </c>
      <c r="Y45" s="120">
        <f t="shared" si="8"/>
        <v>0</v>
      </c>
      <c r="Z45" s="160">
        <v>0</v>
      </c>
      <c r="AA45" s="109" cm="1">
        <f t="array" aca="1" ref="AA45" ca="1">IF(Z$3="None",0,(INDIRECT("TABLE_WTL[@[" &amp; AA$4 &amp; "]]")))</f>
        <v>0</v>
      </c>
      <c r="AB45" s="120">
        <f t="shared" si="9"/>
        <v>0</v>
      </c>
      <c r="AC45" s="160">
        <v>0</v>
      </c>
      <c r="AD45" s="109" cm="1">
        <f t="array" aca="1" ref="AD45" ca="1">IF(AC$3="None",0,(INDIRECT("TABLE_WTL[@[" &amp; AD$4 &amp; "]]")))</f>
        <v>0</v>
      </c>
      <c r="AE45" s="120">
        <f t="shared" si="10"/>
        <v>0</v>
      </c>
      <c r="AF45" s="160">
        <v>0</v>
      </c>
      <c r="AG45" s="109" cm="1">
        <f t="array" aca="1" ref="AG45" ca="1">IF(AF$3="None",0,(INDIRECT("TABLE_WTL[@[" &amp; AG$4 &amp; "]]")))</f>
        <v>0</v>
      </c>
      <c r="AH45" s="120">
        <f t="shared" si="11"/>
        <v>0</v>
      </c>
      <c r="AI45" s="160">
        <v>0</v>
      </c>
      <c r="AJ45" s="109" cm="1">
        <f t="array" aca="1" ref="AJ45" ca="1">IF(AI$3="None",0,(INDIRECT("TABLE_WTL[@[" &amp; AJ$4 &amp; "]]")))</f>
        <v>0</v>
      </c>
      <c r="AK45" s="120">
        <f t="shared" si="12"/>
        <v>0</v>
      </c>
      <c r="AL45" s="160">
        <v>0</v>
      </c>
      <c r="AM45" s="109" cm="1">
        <f t="array" aca="1" ref="AM45" ca="1">IF(AL$3="None",0,(INDIRECT("TABLE_WTL[@[" &amp; AM$4 &amp; "]]")))</f>
        <v>0</v>
      </c>
      <c r="AN45" s="120">
        <f t="shared" si="13"/>
        <v>0</v>
      </c>
      <c r="AO45" s="160">
        <v>0</v>
      </c>
      <c r="AP45" s="109" cm="1">
        <f t="array" aca="1" ref="AP45" ca="1">IF(AO$3="None",0,(INDIRECT("TABLE_WTL[@[" &amp; AP$4 &amp; "]]")))</f>
        <v>0</v>
      </c>
      <c r="AQ45" s="121"/>
      <c r="AR45" s="164"/>
      <c r="AS45" s="168"/>
      <c r="AT45" s="168"/>
      <c r="AU45" s="168"/>
      <c r="AV45" s="168"/>
      <c r="AW45" s="168"/>
      <c r="AX45" s="169"/>
      <c r="AY45" s="121"/>
      <c r="AZ45" s="190"/>
      <c r="BA45" s="71"/>
      <c r="BB45" s="180"/>
      <c r="BC45" s="181"/>
      <c r="BD45" s="181"/>
      <c r="BE45" s="181"/>
      <c r="BF45" s="181"/>
      <c r="BG45" s="181"/>
      <c r="BH45" s="181"/>
      <c r="BI45" s="182"/>
      <c r="BJ45" s="71"/>
      <c r="BK45" s="111">
        <f>N45/ATP_Conditions!$C$7</f>
        <v>3.5714285714285716</v>
      </c>
    </row>
    <row r="46" spans="1:63" ht="15" thickBot="1" x14ac:dyDescent="0.4">
      <c r="A46" s="31">
        <f t="shared" si="17"/>
        <v>42</v>
      </c>
      <c r="B46" s="112">
        <f t="shared" si="1"/>
        <v>43</v>
      </c>
      <c r="C46" s="113">
        <f t="shared" si="14"/>
        <v>46314</v>
      </c>
      <c r="D46" s="114" t="str">
        <f t="shared" si="2"/>
        <v>43-2026</v>
      </c>
      <c r="E46" s="115" t="str">
        <f>_xlfn.IFNA(VLOOKUP(D46,'Race-calendar'!D:F,2,FALSE),"-")</f>
        <v>-</v>
      </c>
      <c r="F46" s="112" t="str">
        <f>_xlfn.IFNA(VLOOKUP($D46,'Race-calendar'!$D:$F,3,FALSE),"-")</f>
        <v>-</v>
      </c>
      <c r="G46" s="116" t="str">
        <f>_xlfn.IFNA(VLOOKUP(D46,'Race-calendar'!D:H,4,FALSE),"-")</f>
        <v>-</v>
      </c>
      <c r="H46" s="117"/>
      <c r="I46" s="154" t="s">
        <v>83</v>
      </c>
      <c r="J46" s="157"/>
      <c r="K46" s="156" t="str">
        <f t="shared" si="15"/>
        <v>Trans</v>
      </c>
      <c r="L46" s="118"/>
      <c r="M46" s="114"/>
      <c r="N46" s="119">
        <f>VLOOKUP(K46,ATP_Conditions!M:N,2,FALSE)</f>
        <v>250</v>
      </c>
      <c r="O46" s="31">
        <f>SUM(T46,W46,Z46,AC46,AF46,AI46,AL46,AO46)+ATP_Conditions!$C$6</f>
        <v>0</v>
      </c>
      <c r="P46" s="32">
        <f t="shared" ca="1" si="16"/>
        <v>0</v>
      </c>
      <c r="Q46" s="106">
        <f t="shared" si="18"/>
        <v>-250</v>
      </c>
      <c r="R46" s="107">
        <f t="shared" ca="1" si="5"/>
        <v>-250</v>
      </c>
      <c r="S46" s="120">
        <f t="shared" si="6"/>
        <v>0</v>
      </c>
      <c r="T46" s="160">
        <v>0</v>
      </c>
      <c r="U46" s="109" cm="1">
        <f t="array" aca="1" ref="U46" ca="1">IF(T$3="None",0,(INDIRECT("TABLE_WTL[@[" &amp; U$4 &amp; "]]")))</f>
        <v>0</v>
      </c>
      <c r="V46" s="120">
        <f t="shared" si="7"/>
        <v>0</v>
      </c>
      <c r="W46" s="160">
        <v>0</v>
      </c>
      <c r="X46" s="109" cm="1">
        <f t="array" aca="1" ref="X46" ca="1">IF(W$3="None",0,(INDIRECT("TABLE_WTL[@[" &amp; X$4 &amp; "]]")))</f>
        <v>0</v>
      </c>
      <c r="Y46" s="120">
        <f t="shared" si="8"/>
        <v>0</v>
      </c>
      <c r="Z46" s="160">
        <v>0</v>
      </c>
      <c r="AA46" s="109" cm="1">
        <f t="array" aca="1" ref="AA46" ca="1">IF(Z$3="None",0,(INDIRECT("TABLE_WTL[@[" &amp; AA$4 &amp; "]]")))</f>
        <v>0</v>
      </c>
      <c r="AB46" s="120">
        <f t="shared" si="9"/>
        <v>0</v>
      </c>
      <c r="AC46" s="160">
        <v>0</v>
      </c>
      <c r="AD46" s="109" cm="1">
        <f t="array" aca="1" ref="AD46" ca="1">IF(AC$3="None",0,(INDIRECT("TABLE_WTL[@[" &amp; AD$4 &amp; "]]")))</f>
        <v>0</v>
      </c>
      <c r="AE46" s="120">
        <f t="shared" si="10"/>
        <v>0</v>
      </c>
      <c r="AF46" s="160">
        <v>0</v>
      </c>
      <c r="AG46" s="109" cm="1">
        <f t="array" aca="1" ref="AG46" ca="1">IF(AF$3="None",0,(INDIRECT("TABLE_WTL[@[" &amp; AG$4 &amp; "]]")))</f>
        <v>0</v>
      </c>
      <c r="AH46" s="120">
        <f t="shared" si="11"/>
        <v>0</v>
      </c>
      <c r="AI46" s="160">
        <v>0</v>
      </c>
      <c r="AJ46" s="109" cm="1">
        <f t="array" aca="1" ref="AJ46" ca="1">IF(AI$3="None",0,(INDIRECT("TABLE_WTL[@[" &amp; AJ$4 &amp; "]]")))</f>
        <v>0</v>
      </c>
      <c r="AK46" s="120">
        <f t="shared" si="12"/>
        <v>0</v>
      </c>
      <c r="AL46" s="160">
        <v>0</v>
      </c>
      <c r="AM46" s="109" cm="1">
        <f t="array" aca="1" ref="AM46" ca="1">IF(AL$3="None",0,(INDIRECT("TABLE_WTL[@[" &amp; AM$4 &amp; "]]")))</f>
        <v>0</v>
      </c>
      <c r="AN46" s="120">
        <f t="shared" si="13"/>
        <v>0</v>
      </c>
      <c r="AO46" s="160">
        <v>0</v>
      </c>
      <c r="AP46" s="109" cm="1">
        <f t="array" aca="1" ref="AP46" ca="1">IF(AO$3="None",0,(INDIRECT("TABLE_WTL[@[" &amp; AP$4 &amp; "]]")))</f>
        <v>0</v>
      </c>
      <c r="AQ46" s="121"/>
      <c r="AR46" s="164"/>
      <c r="AS46" s="168"/>
      <c r="AT46" s="168"/>
      <c r="AU46" s="168"/>
      <c r="AV46" s="168"/>
      <c r="AW46" s="168"/>
      <c r="AX46" s="169"/>
      <c r="AY46" s="121"/>
      <c r="AZ46" s="190"/>
      <c r="BA46" s="71"/>
      <c r="BB46" s="180"/>
      <c r="BC46" s="181"/>
      <c r="BD46" s="181"/>
      <c r="BE46" s="181"/>
      <c r="BF46" s="181"/>
      <c r="BG46" s="181"/>
      <c r="BH46" s="181"/>
      <c r="BI46" s="182"/>
      <c r="BJ46" s="71"/>
      <c r="BK46" s="111">
        <f>N46/ATP_Conditions!$C$7</f>
        <v>3.5714285714285716</v>
      </c>
    </row>
    <row r="47" spans="1:63" ht="15" thickBot="1" x14ac:dyDescent="0.4">
      <c r="A47" s="31">
        <f t="shared" si="17"/>
        <v>43</v>
      </c>
      <c r="B47" s="112">
        <f t="shared" si="1"/>
        <v>44</v>
      </c>
      <c r="C47" s="113">
        <f t="shared" si="14"/>
        <v>46321</v>
      </c>
      <c r="D47" s="114" t="str">
        <f t="shared" si="2"/>
        <v>44-2026</v>
      </c>
      <c r="E47" s="115" t="str">
        <f>_xlfn.IFNA(VLOOKUP(D47,'Race-calendar'!D:F,2,FALSE),"-")</f>
        <v>-</v>
      </c>
      <c r="F47" s="112" t="str">
        <f>_xlfn.IFNA(VLOOKUP($D47,'Race-calendar'!$D:$F,3,FALSE),"-")</f>
        <v>-</v>
      </c>
      <c r="G47" s="116" t="str">
        <f>_xlfn.IFNA(VLOOKUP(D47,'Race-calendar'!D:H,4,FALSE),"-")</f>
        <v>-</v>
      </c>
      <c r="H47" s="117"/>
      <c r="I47" s="154" t="s">
        <v>83</v>
      </c>
      <c r="J47" s="157"/>
      <c r="K47" s="156" t="str">
        <f t="shared" si="15"/>
        <v>Trans</v>
      </c>
      <c r="L47" s="118"/>
      <c r="M47" s="114"/>
      <c r="N47" s="119">
        <f>VLOOKUP(K47,ATP_Conditions!M:N,2,FALSE)</f>
        <v>250</v>
      </c>
      <c r="O47" s="31">
        <f>SUM(T47,W47,Z47,AC47,AF47,AI47,AL47,AO47)+ATP_Conditions!$C$6</f>
        <v>0</v>
      </c>
      <c r="P47" s="32">
        <f t="shared" ca="1" si="16"/>
        <v>0</v>
      </c>
      <c r="Q47" s="106">
        <f t="shared" si="18"/>
        <v>-250</v>
      </c>
      <c r="R47" s="107">
        <f t="shared" ca="1" si="5"/>
        <v>-250</v>
      </c>
      <c r="S47" s="120">
        <f t="shared" si="6"/>
        <v>0</v>
      </c>
      <c r="T47" s="160">
        <v>0</v>
      </c>
      <c r="U47" s="109" cm="1">
        <f t="array" aca="1" ref="U47" ca="1">IF(T$3="None",0,(INDIRECT("TABLE_WTL[@[" &amp; U$4 &amp; "]]")))</f>
        <v>0</v>
      </c>
      <c r="V47" s="120">
        <f t="shared" si="7"/>
        <v>0</v>
      </c>
      <c r="W47" s="160">
        <v>0</v>
      </c>
      <c r="X47" s="109" cm="1">
        <f t="array" aca="1" ref="X47" ca="1">IF(W$3="None",0,(INDIRECT("TABLE_WTL[@[" &amp; X$4 &amp; "]]")))</f>
        <v>0</v>
      </c>
      <c r="Y47" s="120">
        <f t="shared" si="8"/>
        <v>0</v>
      </c>
      <c r="Z47" s="160">
        <v>0</v>
      </c>
      <c r="AA47" s="109" cm="1">
        <f t="array" aca="1" ref="AA47" ca="1">IF(Z$3="None",0,(INDIRECT("TABLE_WTL[@[" &amp; AA$4 &amp; "]]")))</f>
        <v>0</v>
      </c>
      <c r="AB47" s="120">
        <f t="shared" si="9"/>
        <v>0</v>
      </c>
      <c r="AC47" s="160">
        <v>0</v>
      </c>
      <c r="AD47" s="109" cm="1">
        <f t="array" aca="1" ref="AD47" ca="1">IF(AC$3="None",0,(INDIRECT("TABLE_WTL[@[" &amp; AD$4 &amp; "]]")))</f>
        <v>0</v>
      </c>
      <c r="AE47" s="120">
        <f t="shared" si="10"/>
        <v>0</v>
      </c>
      <c r="AF47" s="160">
        <v>0</v>
      </c>
      <c r="AG47" s="109" cm="1">
        <f t="array" aca="1" ref="AG47" ca="1">IF(AF$3="None",0,(INDIRECT("TABLE_WTL[@[" &amp; AG$4 &amp; "]]")))</f>
        <v>0</v>
      </c>
      <c r="AH47" s="120">
        <f t="shared" si="11"/>
        <v>0</v>
      </c>
      <c r="AI47" s="160">
        <v>0</v>
      </c>
      <c r="AJ47" s="109" cm="1">
        <f t="array" aca="1" ref="AJ47" ca="1">IF(AI$3="None",0,(INDIRECT("TABLE_WTL[@[" &amp; AJ$4 &amp; "]]")))</f>
        <v>0</v>
      </c>
      <c r="AK47" s="120">
        <f t="shared" si="12"/>
        <v>0</v>
      </c>
      <c r="AL47" s="160">
        <v>0</v>
      </c>
      <c r="AM47" s="109" cm="1">
        <f t="array" aca="1" ref="AM47" ca="1">IF(AL$3="None",0,(INDIRECT("TABLE_WTL[@[" &amp; AM$4 &amp; "]]")))</f>
        <v>0</v>
      </c>
      <c r="AN47" s="120">
        <f t="shared" si="13"/>
        <v>0</v>
      </c>
      <c r="AO47" s="160">
        <v>0</v>
      </c>
      <c r="AP47" s="109" cm="1">
        <f t="array" aca="1" ref="AP47" ca="1">IF(AO$3="None",0,(INDIRECT("TABLE_WTL[@[" &amp; AP$4 &amp; "]]")))</f>
        <v>0</v>
      </c>
      <c r="AQ47" s="121"/>
      <c r="AR47" s="164"/>
      <c r="AS47" s="168"/>
      <c r="AT47" s="168"/>
      <c r="AU47" s="168"/>
      <c r="AV47" s="168"/>
      <c r="AW47" s="168"/>
      <c r="AX47" s="169"/>
      <c r="AY47" s="121"/>
      <c r="AZ47" s="190"/>
      <c r="BA47" s="71"/>
      <c r="BB47" s="180"/>
      <c r="BC47" s="181"/>
      <c r="BD47" s="181"/>
      <c r="BE47" s="181"/>
      <c r="BF47" s="181"/>
      <c r="BG47" s="181"/>
      <c r="BH47" s="181"/>
      <c r="BI47" s="182"/>
      <c r="BJ47" s="71"/>
      <c r="BK47" s="111">
        <f>N47/ATP_Conditions!$C$7</f>
        <v>3.5714285714285716</v>
      </c>
    </row>
    <row r="48" spans="1:63" ht="15" thickBot="1" x14ac:dyDescent="0.4">
      <c r="A48" s="31">
        <f t="shared" si="17"/>
        <v>44</v>
      </c>
      <c r="B48" s="112">
        <f t="shared" si="1"/>
        <v>45</v>
      </c>
      <c r="C48" s="113">
        <f t="shared" si="14"/>
        <v>46328</v>
      </c>
      <c r="D48" s="114" t="str">
        <f t="shared" si="2"/>
        <v>45-2026</v>
      </c>
      <c r="E48" s="115" t="str">
        <f>_xlfn.IFNA(VLOOKUP(D48,'Race-calendar'!D:F,2,FALSE),"-")</f>
        <v>-</v>
      </c>
      <c r="F48" s="112" t="str">
        <f>_xlfn.IFNA(VLOOKUP($D48,'Race-calendar'!$D:$F,3,FALSE),"-")</f>
        <v>-</v>
      </c>
      <c r="G48" s="116" t="str">
        <f>_xlfn.IFNA(VLOOKUP(D48,'Race-calendar'!D:H,4,FALSE),"-")</f>
        <v>-</v>
      </c>
      <c r="H48" s="117"/>
      <c r="I48" s="154" t="s">
        <v>83</v>
      </c>
      <c r="J48" s="157"/>
      <c r="K48" s="156" t="str">
        <f t="shared" si="15"/>
        <v>Trans</v>
      </c>
      <c r="L48" s="118"/>
      <c r="M48" s="114"/>
      <c r="N48" s="119">
        <f>VLOOKUP(K48,ATP_Conditions!M:N,2,FALSE)</f>
        <v>250</v>
      </c>
      <c r="O48" s="31">
        <f>SUM(T48,W48,Z48,AC48,AF48,AI48,AL48,AO48)+ATP_Conditions!$C$6</f>
        <v>0</v>
      </c>
      <c r="P48" s="32">
        <f t="shared" ca="1" si="16"/>
        <v>0</v>
      </c>
      <c r="Q48" s="106">
        <f t="shared" si="18"/>
        <v>-250</v>
      </c>
      <c r="R48" s="107">
        <f t="shared" ca="1" si="5"/>
        <v>-250</v>
      </c>
      <c r="S48" s="120">
        <f t="shared" si="6"/>
        <v>0</v>
      </c>
      <c r="T48" s="160">
        <v>0</v>
      </c>
      <c r="U48" s="109" cm="1">
        <f t="array" aca="1" ref="U48" ca="1">IF(T$3="None",0,(INDIRECT("TABLE_WTL[@[" &amp; U$4 &amp; "]]")))</f>
        <v>0</v>
      </c>
      <c r="V48" s="120">
        <f t="shared" si="7"/>
        <v>0</v>
      </c>
      <c r="W48" s="160">
        <v>0</v>
      </c>
      <c r="X48" s="109" cm="1">
        <f t="array" aca="1" ref="X48" ca="1">IF(W$3="None",0,(INDIRECT("TABLE_WTL[@[" &amp; X$4 &amp; "]]")))</f>
        <v>0</v>
      </c>
      <c r="Y48" s="120">
        <f t="shared" si="8"/>
        <v>0</v>
      </c>
      <c r="Z48" s="160">
        <v>0</v>
      </c>
      <c r="AA48" s="109" cm="1">
        <f t="array" aca="1" ref="AA48" ca="1">IF(Z$3="None",0,(INDIRECT("TABLE_WTL[@[" &amp; AA$4 &amp; "]]")))</f>
        <v>0</v>
      </c>
      <c r="AB48" s="120">
        <f t="shared" si="9"/>
        <v>0</v>
      </c>
      <c r="AC48" s="160">
        <v>0</v>
      </c>
      <c r="AD48" s="109" cm="1">
        <f t="array" aca="1" ref="AD48" ca="1">IF(AC$3="None",0,(INDIRECT("TABLE_WTL[@[" &amp; AD$4 &amp; "]]")))</f>
        <v>0</v>
      </c>
      <c r="AE48" s="120">
        <f t="shared" si="10"/>
        <v>0</v>
      </c>
      <c r="AF48" s="160">
        <v>0</v>
      </c>
      <c r="AG48" s="109" cm="1">
        <f t="array" aca="1" ref="AG48" ca="1">IF(AF$3="None",0,(INDIRECT("TABLE_WTL[@[" &amp; AG$4 &amp; "]]")))</f>
        <v>0</v>
      </c>
      <c r="AH48" s="120">
        <f t="shared" si="11"/>
        <v>0</v>
      </c>
      <c r="AI48" s="160">
        <v>0</v>
      </c>
      <c r="AJ48" s="109" cm="1">
        <f t="array" aca="1" ref="AJ48" ca="1">IF(AI$3="None",0,(INDIRECT("TABLE_WTL[@[" &amp; AJ$4 &amp; "]]")))</f>
        <v>0</v>
      </c>
      <c r="AK48" s="120">
        <f t="shared" si="12"/>
        <v>0</v>
      </c>
      <c r="AL48" s="160">
        <v>0</v>
      </c>
      <c r="AM48" s="109" cm="1">
        <f t="array" aca="1" ref="AM48" ca="1">IF(AL$3="None",0,(INDIRECT("TABLE_WTL[@[" &amp; AM$4 &amp; "]]")))</f>
        <v>0</v>
      </c>
      <c r="AN48" s="120">
        <f t="shared" si="13"/>
        <v>0</v>
      </c>
      <c r="AO48" s="160">
        <v>0</v>
      </c>
      <c r="AP48" s="109" cm="1">
        <f t="array" aca="1" ref="AP48" ca="1">IF(AO$3="None",0,(INDIRECT("TABLE_WTL[@[" &amp; AP$4 &amp; "]]")))</f>
        <v>0</v>
      </c>
      <c r="AQ48" s="121"/>
      <c r="AR48" s="164"/>
      <c r="AS48" s="168"/>
      <c r="AT48" s="168"/>
      <c r="AU48" s="168"/>
      <c r="AV48" s="168"/>
      <c r="AW48" s="168"/>
      <c r="AX48" s="169"/>
      <c r="AY48" s="121"/>
      <c r="AZ48" s="190"/>
      <c r="BA48" s="71"/>
      <c r="BB48" s="180"/>
      <c r="BC48" s="181"/>
      <c r="BD48" s="181"/>
      <c r="BE48" s="181"/>
      <c r="BF48" s="181"/>
      <c r="BG48" s="181"/>
      <c r="BH48" s="181"/>
      <c r="BI48" s="182"/>
      <c r="BJ48" s="71"/>
      <c r="BK48" s="111">
        <f>N48/ATP_Conditions!$C$7</f>
        <v>3.5714285714285716</v>
      </c>
    </row>
    <row r="49" spans="1:63" ht="15" thickBot="1" x14ac:dyDescent="0.4">
      <c r="A49" s="31">
        <f t="shared" si="17"/>
        <v>45</v>
      </c>
      <c r="B49" s="112">
        <f t="shared" si="1"/>
        <v>46</v>
      </c>
      <c r="C49" s="113">
        <f t="shared" si="14"/>
        <v>46335</v>
      </c>
      <c r="D49" s="114" t="str">
        <f t="shared" si="2"/>
        <v>46-2026</v>
      </c>
      <c r="E49" s="115" t="str">
        <f>_xlfn.IFNA(VLOOKUP(D49,'Race-calendar'!D:F,2,FALSE),"-")</f>
        <v>-</v>
      </c>
      <c r="F49" s="112" t="str">
        <f>_xlfn.IFNA(VLOOKUP($D49,'Race-calendar'!$D:$F,3,FALSE),"-")</f>
        <v>-</v>
      </c>
      <c r="G49" s="116" t="str">
        <f>_xlfn.IFNA(VLOOKUP(D49,'Race-calendar'!D:H,4,FALSE),"-")</f>
        <v>-</v>
      </c>
      <c r="H49" s="117"/>
      <c r="I49" s="154" t="s">
        <v>83</v>
      </c>
      <c r="J49" s="157"/>
      <c r="K49" s="156" t="str">
        <f t="shared" si="15"/>
        <v>Trans</v>
      </c>
      <c r="L49" s="118"/>
      <c r="M49" s="114"/>
      <c r="N49" s="119">
        <f>VLOOKUP(K49,ATP_Conditions!M:N,2,FALSE)</f>
        <v>250</v>
      </c>
      <c r="O49" s="31">
        <f>SUM(T49,W49,Z49,AC49,AF49,AI49,AL49,AO49)+ATP_Conditions!$C$6</f>
        <v>0</v>
      </c>
      <c r="P49" s="32">
        <f t="shared" ca="1" si="16"/>
        <v>0</v>
      </c>
      <c r="Q49" s="106">
        <f t="shared" si="18"/>
        <v>-250</v>
      </c>
      <c r="R49" s="107">
        <f t="shared" ca="1" si="5"/>
        <v>-250</v>
      </c>
      <c r="S49" s="120">
        <f t="shared" si="6"/>
        <v>0</v>
      </c>
      <c r="T49" s="160">
        <v>0</v>
      </c>
      <c r="U49" s="109" cm="1">
        <f t="array" aca="1" ref="U49" ca="1">IF(T$3="None",0,(INDIRECT("TABLE_WTL[@[" &amp; U$4 &amp; "]]")))</f>
        <v>0</v>
      </c>
      <c r="V49" s="120">
        <f t="shared" si="7"/>
        <v>0</v>
      </c>
      <c r="W49" s="160">
        <v>0</v>
      </c>
      <c r="X49" s="109" cm="1">
        <f t="array" aca="1" ref="X49" ca="1">IF(W$3="None",0,(INDIRECT("TABLE_WTL[@[" &amp; X$4 &amp; "]]")))</f>
        <v>0</v>
      </c>
      <c r="Y49" s="120">
        <f t="shared" si="8"/>
        <v>0</v>
      </c>
      <c r="Z49" s="160">
        <v>0</v>
      </c>
      <c r="AA49" s="109" cm="1">
        <f t="array" aca="1" ref="AA49" ca="1">IF(Z$3="None",0,(INDIRECT("TABLE_WTL[@[" &amp; AA$4 &amp; "]]")))</f>
        <v>0</v>
      </c>
      <c r="AB49" s="120">
        <f t="shared" si="9"/>
        <v>0</v>
      </c>
      <c r="AC49" s="160">
        <v>0</v>
      </c>
      <c r="AD49" s="109" cm="1">
        <f t="array" aca="1" ref="AD49" ca="1">IF(AC$3="None",0,(INDIRECT("TABLE_WTL[@[" &amp; AD$4 &amp; "]]")))</f>
        <v>0</v>
      </c>
      <c r="AE49" s="120">
        <f t="shared" si="10"/>
        <v>0</v>
      </c>
      <c r="AF49" s="160">
        <v>0</v>
      </c>
      <c r="AG49" s="109" cm="1">
        <f t="array" aca="1" ref="AG49" ca="1">IF(AF$3="None",0,(INDIRECT("TABLE_WTL[@[" &amp; AG$4 &amp; "]]")))</f>
        <v>0</v>
      </c>
      <c r="AH49" s="120">
        <f t="shared" si="11"/>
        <v>0</v>
      </c>
      <c r="AI49" s="160">
        <v>0</v>
      </c>
      <c r="AJ49" s="109" cm="1">
        <f t="array" aca="1" ref="AJ49" ca="1">IF(AI$3="None",0,(INDIRECT("TABLE_WTL[@[" &amp; AJ$4 &amp; "]]")))</f>
        <v>0</v>
      </c>
      <c r="AK49" s="120">
        <f t="shared" si="12"/>
        <v>0</v>
      </c>
      <c r="AL49" s="160">
        <v>0</v>
      </c>
      <c r="AM49" s="109" cm="1">
        <f t="array" aca="1" ref="AM49" ca="1">IF(AL$3="None",0,(INDIRECT("TABLE_WTL[@[" &amp; AM$4 &amp; "]]")))</f>
        <v>0</v>
      </c>
      <c r="AN49" s="120">
        <f t="shared" si="13"/>
        <v>0</v>
      </c>
      <c r="AO49" s="160">
        <v>0</v>
      </c>
      <c r="AP49" s="109" cm="1">
        <f t="array" aca="1" ref="AP49" ca="1">IF(AO$3="None",0,(INDIRECT("TABLE_WTL[@[" &amp; AP$4 &amp; "]]")))</f>
        <v>0</v>
      </c>
      <c r="AQ49" s="121"/>
      <c r="AR49" s="164"/>
      <c r="AS49" s="168"/>
      <c r="AT49" s="168"/>
      <c r="AU49" s="168"/>
      <c r="AV49" s="168"/>
      <c r="AW49" s="168"/>
      <c r="AX49" s="169"/>
      <c r="AY49" s="121"/>
      <c r="AZ49" s="190"/>
      <c r="BA49" s="71"/>
      <c r="BB49" s="180"/>
      <c r="BC49" s="181"/>
      <c r="BD49" s="181"/>
      <c r="BE49" s="181"/>
      <c r="BF49" s="181"/>
      <c r="BG49" s="181"/>
      <c r="BH49" s="181"/>
      <c r="BI49" s="182"/>
      <c r="BJ49" s="71"/>
      <c r="BK49" s="111">
        <f>N49/ATP_Conditions!$C$7</f>
        <v>3.5714285714285716</v>
      </c>
    </row>
    <row r="50" spans="1:63" ht="15" thickBot="1" x14ac:dyDescent="0.4">
      <c r="A50" s="31">
        <f t="shared" si="17"/>
        <v>46</v>
      </c>
      <c r="B50" s="112">
        <f t="shared" si="1"/>
        <v>47</v>
      </c>
      <c r="C50" s="113">
        <f t="shared" si="14"/>
        <v>46342</v>
      </c>
      <c r="D50" s="114" t="str">
        <f t="shared" si="2"/>
        <v>47-2026</v>
      </c>
      <c r="E50" s="115" t="str">
        <f>_xlfn.IFNA(VLOOKUP(D50,'Race-calendar'!D:F,2,FALSE),"-")</f>
        <v>-</v>
      </c>
      <c r="F50" s="112" t="str">
        <f>_xlfn.IFNA(VLOOKUP($D50,'Race-calendar'!$D:$F,3,FALSE),"-")</f>
        <v>-</v>
      </c>
      <c r="G50" s="116" t="str">
        <f>_xlfn.IFNA(VLOOKUP(D50,'Race-calendar'!D:H,4,FALSE),"-")</f>
        <v>-</v>
      </c>
      <c r="H50" s="117"/>
      <c r="I50" s="154" t="s">
        <v>83</v>
      </c>
      <c r="J50" s="157"/>
      <c r="K50" s="156" t="str">
        <f t="shared" si="15"/>
        <v>Trans</v>
      </c>
      <c r="L50" s="118"/>
      <c r="M50" s="114"/>
      <c r="N50" s="119">
        <f>VLOOKUP(K50,ATP_Conditions!M:N,2,FALSE)</f>
        <v>250</v>
      </c>
      <c r="O50" s="31">
        <f>SUM(T50,W50,Z50,AC50,AF50,AI50,AL50,AO50)+ATP_Conditions!$C$6</f>
        <v>0</v>
      </c>
      <c r="P50" s="32">
        <f t="shared" ca="1" si="16"/>
        <v>0</v>
      </c>
      <c r="Q50" s="106">
        <f t="shared" si="18"/>
        <v>-250</v>
      </c>
      <c r="R50" s="107">
        <f t="shared" ca="1" si="5"/>
        <v>-250</v>
      </c>
      <c r="S50" s="120">
        <f t="shared" si="6"/>
        <v>0</v>
      </c>
      <c r="T50" s="160">
        <v>0</v>
      </c>
      <c r="U50" s="109" cm="1">
        <f t="array" aca="1" ref="U50" ca="1">IF(T$3="None",0,(INDIRECT("TABLE_WTL[@[" &amp; U$4 &amp; "]]")))</f>
        <v>0</v>
      </c>
      <c r="V50" s="120">
        <f t="shared" si="7"/>
        <v>0</v>
      </c>
      <c r="W50" s="160">
        <v>0</v>
      </c>
      <c r="X50" s="109" cm="1">
        <f t="array" aca="1" ref="X50" ca="1">IF(W$3="None",0,(INDIRECT("TABLE_WTL[@[" &amp; X$4 &amp; "]]")))</f>
        <v>0</v>
      </c>
      <c r="Y50" s="120">
        <f t="shared" si="8"/>
        <v>0</v>
      </c>
      <c r="Z50" s="160">
        <v>0</v>
      </c>
      <c r="AA50" s="109" cm="1">
        <f t="array" aca="1" ref="AA50" ca="1">IF(Z$3="None",0,(INDIRECT("TABLE_WTL[@[" &amp; AA$4 &amp; "]]")))</f>
        <v>0</v>
      </c>
      <c r="AB50" s="120">
        <f t="shared" si="9"/>
        <v>0</v>
      </c>
      <c r="AC50" s="160">
        <v>0</v>
      </c>
      <c r="AD50" s="109" cm="1">
        <f t="array" aca="1" ref="AD50" ca="1">IF(AC$3="None",0,(INDIRECT("TABLE_WTL[@[" &amp; AD$4 &amp; "]]")))</f>
        <v>0</v>
      </c>
      <c r="AE50" s="120">
        <f t="shared" si="10"/>
        <v>0</v>
      </c>
      <c r="AF50" s="160">
        <v>0</v>
      </c>
      <c r="AG50" s="109" cm="1">
        <f t="array" aca="1" ref="AG50" ca="1">IF(AF$3="None",0,(INDIRECT("TABLE_WTL[@[" &amp; AG$4 &amp; "]]")))</f>
        <v>0</v>
      </c>
      <c r="AH50" s="120">
        <f t="shared" si="11"/>
        <v>0</v>
      </c>
      <c r="AI50" s="160">
        <v>0</v>
      </c>
      <c r="AJ50" s="109" cm="1">
        <f t="array" aca="1" ref="AJ50" ca="1">IF(AI$3="None",0,(INDIRECT("TABLE_WTL[@[" &amp; AJ$4 &amp; "]]")))</f>
        <v>0</v>
      </c>
      <c r="AK50" s="120">
        <f t="shared" si="12"/>
        <v>0</v>
      </c>
      <c r="AL50" s="160">
        <v>0</v>
      </c>
      <c r="AM50" s="109" cm="1">
        <f t="array" aca="1" ref="AM50" ca="1">IF(AL$3="None",0,(INDIRECT("TABLE_WTL[@[" &amp; AM$4 &amp; "]]")))</f>
        <v>0</v>
      </c>
      <c r="AN50" s="120">
        <f t="shared" si="13"/>
        <v>0</v>
      </c>
      <c r="AO50" s="160">
        <v>0</v>
      </c>
      <c r="AP50" s="109" cm="1">
        <f t="array" aca="1" ref="AP50" ca="1">IF(AO$3="None",0,(INDIRECT("TABLE_WTL[@[" &amp; AP$4 &amp; "]]")))</f>
        <v>0</v>
      </c>
      <c r="AQ50" s="121"/>
      <c r="AR50" s="164"/>
      <c r="AS50" s="168"/>
      <c r="AT50" s="168"/>
      <c r="AU50" s="168"/>
      <c r="AV50" s="168"/>
      <c r="AW50" s="168"/>
      <c r="AX50" s="169"/>
      <c r="AY50" s="121"/>
      <c r="AZ50" s="190"/>
      <c r="BA50" s="71"/>
      <c r="BB50" s="180"/>
      <c r="BC50" s="181"/>
      <c r="BD50" s="181"/>
      <c r="BE50" s="181"/>
      <c r="BF50" s="181"/>
      <c r="BG50" s="181"/>
      <c r="BH50" s="181"/>
      <c r="BI50" s="182"/>
      <c r="BJ50" s="71"/>
      <c r="BK50" s="111">
        <f>N50/ATP_Conditions!$C$7</f>
        <v>3.5714285714285716</v>
      </c>
    </row>
    <row r="51" spans="1:63" ht="15" thickBot="1" x14ac:dyDescent="0.4">
      <c r="A51" s="31">
        <f t="shared" si="17"/>
        <v>47</v>
      </c>
      <c r="B51" s="112">
        <f t="shared" si="1"/>
        <v>48</v>
      </c>
      <c r="C51" s="113">
        <f t="shared" si="14"/>
        <v>46349</v>
      </c>
      <c r="D51" s="114" t="str">
        <f t="shared" si="2"/>
        <v>48-2026</v>
      </c>
      <c r="E51" s="115" t="str">
        <f>_xlfn.IFNA(VLOOKUP(D51,'Race-calendar'!D:F,2,FALSE),"-")</f>
        <v>-</v>
      </c>
      <c r="F51" s="112" t="str">
        <f>_xlfn.IFNA(VLOOKUP($D51,'Race-calendar'!$D:$F,3,FALSE),"-")</f>
        <v>-</v>
      </c>
      <c r="G51" s="116" t="str">
        <f>_xlfn.IFNA(VLOOKUP(D51,'Race-calendar'!D:H,4,FALSE),"-")</f>
        <v>-</v>
      </c>
      <c r="H51" s="117"/>
      <c r="I51" s="154" t="s">
        <v>83</v>
      </c>
      <c r="J51" s="157"/>
      <c r="K51" s="156" t="str">
        <f t="shared" si="15"/>
        <v>Trans</v>
      </c>
      <c r="L51" s="118"/>
      <c r="M51" s="114"/>
      <c r="N51" s="119">
        <f>VLOOKUP(K51,ATP_Conditions!M:N,2,FALSE)</f>
        <v>250</v>
      </c>
      <c r="O51" s="31">
        <f>SUM(T51,W51,Z51,AC51,AF51,AI51,AL51,AO51)+ATP_Conditions!$C$6</f>
        <v>0</v>
      </c>
      <c r="P51" s="32">
        <f t="shared" ca="1" si="16"/>
        <v>0</v>
      </c>
      <c r="Q51" s="106">
        <f t="shared" si="18"/>
        <v>-250</v>
      </c>
      <c r="R51" s="107">
        <f t="shared" ca="1" si="5"/>
        <v>-250</v>
      </c>
      <c r="S51" s="120">
        <f t="shared" si="6"/>
        <v>0</v>
      </c>
      <c r="T51" s="160">
        <v>0</v>
      </c>
      <c r="U51" s="109" cm="1">
        <f t="array" aca="1" ref="U51" ca="1">IF(T$3="None",0,(INDIRECT("TABLE_WTL[@[" &amp; U$4 &amp; "]]")))</f>
        <v>0</v>
      </c>
      <c r="V51" s="120">
        <f t="shared" si="7"/>
        <v>0</v>
      </c>
      <c r="W51" s="160">
        <v>0</v>
      </c>
      <c r="X51" s="109" cm="1">
        <f t="array" aca="1" ref="X51" ca="1">IF(W$3="None",0,(INDIRECT("TABLE_WTL[@[" &amp; X$4 &amp; "]]")))</f>
        <v>0</v>
      </c>
      <c r="Y51" s="120">
        <f t="shared" si="8"/>
        <v>0</v>
      </c>
      <c r="Z51" s="160">
        <v>0</v>
      </c>
      <c r="AA51" s="109" cm="1">
        <f t="array" aca="1" ref="AA51" ca="1">IF(Z$3="None",0,(INDIRECT("TABLE_WTL[@[" &amp; AA$4 &amp; "]]")))</f>
        <v>0</v>
      </c>
      <c r="AB51" s="120">
        <f t="shared" si="9"/>
        <v>0</v>
      </c>
      <c r="AC51" s="160">
        <v>0</v>
      </c>
      <c r="AD51" s="109" cm="1">
        <f t="array" aca="1" ref="AD51" ca="1">IF(AC$3="None",0,(INDIRECT("TABLE_WTL[@[" &amp; AD$4 &amp; "]]")))</f>
        <v>0</v>
      </c>
      <c r="AE51" s="120">
        <f t="shared" si="10"/>
        <v>0</v>
      </c>
      <c r="AF51" s="160">
        <v>0</v>
      </c>
      <c r="AG51" s="109" cm="1">
        <f t="array" aca="1" ref="AG51" ca="1">IF(AF$3="None",0,(INDIRECT("TABLE_WTL[@[" &amp; AG$4 &amp; "]]")))</f>
        <v>0</v>
      </c>
      <c r="AH51" s="120">
        <f t="shared" si="11"/>
        <v>0</v>
      </c>
      <c r="AI51" s="160">
        <v>0</v>
      </c>
      <c r="AJ51" s="109" cm="1">
        <f t="array" aca="1" ref="AJ51" ca="1">IF(AI$3="None",0,(INDIRECT("TABLE_WTL[@[" &amp; AJ$4 &amp; "]]")))</f>
        <v>0</v>
      </c>
      <c r="AK51" s="120">
        <f t="shared" si="12"/>
        <v>0</v>
      </c>
      <c r="AL51" s="160">
        <v>0</v>
      </c>
      <c r="AM51" s="109" cm="1">
        <f t="array" aca="1" ref="AM51" ca="1">IF(AL$3="None",0,(INDIRECT("TABLE_WTL[@[" &amp; AM$4 &amp; "]]")))</f>
        <v>0</v>
      </c>
      <c r="AN51" s="120">
        <f t="shared" si="13"/>
        <v>0</v>
      </c>
      <c r="AO51" s="160">
        <v>0</v>
      </c>
      <c r="AP51" s="109" cm="1">
        <f t="array" aca="1" ref="AP51" ca="1">IF(AO$3="None",0,(INDIRECT("TABLE_WTL[@[" &amp; AP$4 &amp; "]]")))</f>
        <v>0</v>
      </c>
      <c r="AQ51" s="121"/>
      <c r="AR51" s="164"/>
      <c r="AS51" s="168"/>
      <c r="AT51" s="168"/>
      <c r="AU51" s="168"/>
      <c r="AV51" s="168"/>
      <c r="AW51" s="168"/>
      <c r="AX51" s="169"/>
      <c r="AY51" s="121"/>
      <c r="AZ51" s="190"/>
      <c r="BA51" s="71"/>
      <c r="BB51" s="180"/>
      <c r="BC51" s="181"/>
      <c r="BD51" s="181"/>
      <c r="BE51" s="181"/>
      <c r="BF51" s="181"/>
      <c r="BG51" s="181"/>
      <c r="BH51" s="181"/>
      <c r="BI51" s="182"/>
      <c r="BJ51" s="71"/>
      <c r="BK51" s="111">
        <f>N51/ATP_Conditions!$C$7</f>
        <v>3.5714285714285716</v>
      </c>
    </row>
    <row r="52" spans="1:63" ht="15" thickBot="1" x14ac:dyDescent="0.4">
      <c r="A52" s="31">
        <f t="shared" si="17"/>
        <v>48</v>
      </c>
      <c r="B52" s="112">
        <f t="shared" si="1"/>
        <v>49</v>
      </c>
      <c r="C52" s="113">
        <f t="shared" si="14"/>
        <v>46356</v>
      </c>
      <c r="D52" s="114" t="str">
        <f t="shared" si="2"/>
        <v>49-2026</v>
      </c>
      <c r="E52" s="115" t="str">
        <f>_xlfn.IFNA(VLOOKUP(D52,'Race-calendar'!D:F,2,FALSE),"-")</f>
        <v>-</v>
      </c>
      <c r="F52" s="112" t="str">
        <f>_xlfn.IFNA(VLOOKUP($D52,'Race-calendar'!$D:$F,3,FALSE),"-")</f>
        <v>-</v>
      </c>
      <c r="G52" s="116" t="str">
        <f>_xlfn.IFNA(VLOOKUP(D52,'Race-calendar'!D:H,4,FALSE),"-")</f>
        <v>-</v>
      </c>
      <c r="H52" s="117"/>
      <c r="I52" s="154" t="s">
        <v>83</v>
      </c>
      <c r="J52" s="157"/>
      <c r="K52" s="156" t="str">
        <f t="shared" si="15"/>
        <v>Trans</v>
      </c>
      <c r="L52" s="118"/>
      <c r="M52" s="114"/>
      <c r="N52" s="119">
        <f>VLOOKUP(K52,ATP_Conditions!M:N,2,FALSE)</f>
        <v>250</v>
      </c>
      <c r="O52" s="31">
        <f>SUM(T52,W52,Z52,AC52,AF52,AI52,AL52,AO52)+ATP_Conditions!$C$6</f>
        <v>0</v>
      </c>
      <c r="P52" s="32">
        <f t="shared" ca="1" si="16"/>
        <v>0</v>
      </c>
      <c r="Q52" s="106">
        <f t="shared" si="18"/>
        <v>-250</v>
      </c>
      <c r="R52" s="107">
        <f t="shared" ca="1" si="5"/>
        <v>-250</v>
      </c>
      <c r="S52" s="120">
        <f t="shared" si="6"/>
        <v>0</v>
      </c>
      <c r="T52" s="160">
        <v>0</v>
      </c>
      <c r="U52" s="109" cm="1">
        <f t="array" aca="1" ref="U52" ca="1">IF(T$3="None",0,(INDIRECT("TABLE_WTL[@[" &amp; U$4 &amp; "]]")))</f>
        <v>0</v>
      </c>
      <c r="V52" s="120">
        <f t="shared" si="7"/>
        <v>0</v>
      </c>
      <c r="W52" s="160">
        <v>0</v>
      </c>
      <c r="X52" s="109" cm="1">
        <f t="array" aca="1" ref="X52" ca="1">IF(W$3="None",0,(INDIRECT("TABLE_WTL[@[" &amp; X$4 &amp; "]]")))</f>
        <v>0</v>
      </c>
      <c r="Y52" s="120">
        <f t="shared" si="8"/>
        <v>0</v>
      </c>
      <c r="Z52" s="160">
        <v>0</v>
      </c>
      <c r="AA52" s="109" cm="1">
        <f t="array" aca="1" ref="AA52" ca="1">IF(Z$3="None",0,(INDIRECT("TABLE_WTL[@[" &amp; AA$4 &amp; "]]")))</f>
        <v>0</v>
      </c>
      <c r="AB52" s="120">
        <f t="shared" si="9"/>
        <v>0</v>
      </c>
      <c r="AC52" s="160">
        <v>0</v>
      </c>
      <c r="AD52" s="109" cm="1">
        <f t="array" aca="1" ref="AD52" ca="1">IF(AC$3="None",0,(INDIRECT("TABLE_WTL[@[" &amp; AD$4 &amp; "]]")))</f>
        <v>0</v>
      </c>
      <c r="AE52" s="120">
        <f t="shared" si="10"/>
        <v>0</v>
      </c>
      <c r="AF52" s="160">
        <v>0</v>
      </c>
      <c r="AG52" s="109" cm="1">
        <f t="array" aca="1" ref="AG52" ca="1">IF(AF$3="None",0,(INDIRECT("TABLE_WTL[@[" &amp; AG$4 &amp; "]]")))</f>
        <v>0</v>
      </c>
      <c r="AH52" s="120">
        <f t="shared" si="11"/>
        <v>0</v>
      </c>
      <c r="AI52" s="160">
        <v>0</v>
      </c>
      <c r="AJ52" s="109" cm="1">
        <f t="array" aca="1" ref="AJ52" ca="1">IF(AI$3="None",0,(INDIRECT("TABLE_WTL[@[" &amp; AJ$4 &amp; "]]")))</f>
        <v>0</v>
      </c>
      <c r="AK52" s="120">
        <f t="shared" si="12"/>
        <v>0</v>
      </c>
      <c r="AL52" s="160">
        <v>0</v>
      </c>
      <c r="AM52" s="109" cm="1">
        <f t="array" aca="1" ref="AM52" ca="1">IF(AL$3="None",0,(INDIRECT("TABLE_WTL[@[" &amp; AM$4 &amp; "]]")))</f>
        <v>0</v>
      </c>
      <c r="AN52" s="120">
        <f t="shared" si="13"/>
        <v>0</v>
      </c>
      <c r="AO52" s="160">
        <v>0</v>
      </c>
      <c r="AP52" s="109" cm="1">
        <f t="array" aca="1" ref="AP52" ca="1">IF(AO$3="None",0,(INDIRECT("TABLE_WTL[@[" &amp; AP$4 &amp; "]]")))</f>
        <v>0</v>
      </c>
      <c r="AQ52" s="121"/>
      <c r="AR52" s="164"/>
      <c r="AS52" s="168"/>
      <c r="AT52" s="168"/>
      <c r="AU52" s="168"/>
      <c r="AV52" s="168"/>
      <c r="AW52" s="168"/>
      <c r="AX52" s="169"/>
      <c r="AY52" s="121"/>
      <c r="AZ52" s="190"/>
      <c r="BA52" s="71"/>
      <c r="BB52" s="180"/>
      <c r="BC52" s="181"/>
      <c r="BD52" s="181"/>
      <c r="BE52" s="181"/>
      <c r="BF52" s="181"/>
      <c r="BG52" s="181"/>
      <c r="BH52" s="181"/>
      <c r="BI52" s="182"/>
      <c r="BJ52" s="71"/>
      <c r="BK52" s="111">
        <f>N52/ATP_Conditions!$C$7</f>
        <v>3.5714285714285716</v>
      </c>
    </row>
    <row r="53" spans="1:63" ht="15" thickBot="1" x14ac:dyDescent="0.4">
      <c r="A53" s="31">
        <f t="shared" si="17"/>
        <v>49</v>
      </c>
      <c r="B53" s="112">
        <f t="shared" si="1"/>
        <v>50</v>
      </c>
      <c r="C53" s="113">
        <f t="shared" si="14"/>
        <v>46363</v>
      </c>
      <c r="D53" s="114" t="str">
        <f t="shared" si="2"/>
        <v>50-2026</v>
      </c>
      <c r="E53" s="115" t="str">
        <f>_xlfn.IFNA(VLOOKUP(D53,'Race-calendar'!D:F,2,FALSE),"-")</f>
        <v>-</v>
      </c>
      <c r="F53" s="112" t="str">
        <f>_xlfn.IFNA(VLOOKUP($D53,'Race-calendar'!$D:$F,3,FALSE),"-")</f>
        <v>-</v>
      </c>
      <c r="G53" s="116" t="str">
        <f>_xlfn.IFNA(VLOOKUP(D53,'Race-calendar'!D:H,4,FALSE),"-")</f>
        <v>-</v>
      </c>
      <c r="H53" s="117"/>
      <c r="I53" s="154" t="s">
        <v>83</v>
      </c>
      <c r="J53" s="157"/>
      <c r="K53" s="156" t="str">
        <f t="shared" si="15"/>
        <v>Trans</v>
      </c>
      <c r="L53" s="118"/>
      <c r="M53" s="114"/>
      <c r="N53" s="119">
        <f>VLOOKUP(K53,ATP_Conditions!M:N,2,FALSE)</f>
        <v>250</v>
      </c>
      <c r="O53" s="31">
        <f>SUM(T53,W53,Z53,AC53,AF53,AI53,AL53,AO53)+ATP_Conditions!$C$6</f>
        <v>0</v>
      </c>
      <c r="P53" s="32">
        <f t="shared" ca="1" si="16"/>
        <v>0</v>
      </c>
      <c r="Q53" s="106">
        <f t="shared" si="18"/>
        <v>-250</v>
      </c>
      <c r="R53" s="107">
        <f t="shared" ca="1" si="5"/>
        <v>-250</v>
      </c>
      <c r="S53" s="120">
        <f t="shared" si="6"/>
        <v>0</v>
      </c>
      <c r="T53" s="160">
        <v>0</v>
      </c>
      <c r="U53" s="109" cm="1">
        <f t="array" aca="1" ref="U53" ca="1">IF(T$3="None",0,(INDIRECT("TABLE_WTL[@[" &amp; U$4 &amp; "]]")))</f>
        <v>0</v>
      </c>
      <c r="V53" s="120">
        <f t="shared" si="7"/>
        <v>0</v>
      </c>
      <c r="W53" s="160">
        <v>0</v>
      </c>
      <c r="X53" s="109" cm="1">
        <f t="array" aca="1" ref="X53" ca="1">IF(W$3="None",0,(INDIRECT("TABLE_WTL[@[" &amp; X$4 &amp; "]]")))</f>
        <v>0</v>
      </c>
      <c r="Y53" s="120">
        <f t="shared" si="8"/>
        <v>0</v>
      </c>
      <c r="Z53" s="160">
        <v>0</v>
      </c>
      <c r="AA53" s="109" cm="1">
        <f t="array" aca="1" ref="AA53" ca="1">IF(Z$3="None",0,(INDIRECT("TABLE_WTL[@[" &amp; AA$4 &amp; "]]")))</f>
        <v>0</v>
      </c>
      <c r="AB53" s="120">
        <f t="shared" si="9"/>
        <v>0</v>
      </c>
      <c r="AC53" s="160">
        <v>0</v>
      </c>
      <c r="AD53" s="109" cm="1">
        <f t="array" aca="1" ref="AD53" ca="1">IF(AC$3="None",0,(INDIRECT("TABLE_WTL[@[" &amp; AD$4 &amp; "]]")))</f>
        <v>0</v>
      </c>
      <c r="AE53" s="120">
        <f t="shared" si="10"/>
        <v>0</v>
      </c>
      <c r="AF53" s="160">
        <v>0</v>
      </c>
      <c r="AG53" s="109" cm="1">
        <f t="array" aca="1" ref="AG53" ca="1">IF(AF$3="None",0,(INDIRECT("TABLE_WTL[@[" &amp; AG$4 &amp; "]]")))</f>
        <v>0</v>
      </c>
      <c r="AH53" s="120">
        <f t="shared" si="11"/>
        <v>0</v>
      </c>
      <c r="AI53" s="160">
        <v>0</v>
      </c>
      <c r="AJ53" s="109" cm="1">
        <f t="array" aca="1" ref="AJ53" ca="1">IF(AI$3="None",0,(INDIRECT("TABLE_WTL[@[" &amp; AJ$4 &amp; "]]")))</f>
        <v>0</v>
      </c>
      <c r="AK53" s="120">
        <f t="shared" si="12"/>
        <v>0</v>
      </c>
      <c r="AL53" s="160">
        <v>0</v>
      </c>
      <c r="AM53" s="109" cm="1">
        <f t="array" aca="1" ref="AM53" ca="1">IF(AL$3="None",0,(INDIRECT("TABLE_WTL[@[" &amp; AM$4 &amp; "]]")))</f>
        <v>0</v>
      </c>
      <c r="AN53" s="120">
        <f t="shared" si="13"/>
        <v>0</v>
      </c>
      <c r="AO53" s="160">
        <v>0</v>
      </c>
      <c r="AP53" s="109" cm="1">
        <f t="array" aca="1" ref="AP53" ca="1">IF(AO$3="None",0,(INDIRECT("TABLE_WTL[@[" &amp; AP$4 &amp; "]]")))</f>
        <v>0</v>
      </c>
      <c r="AQ53" s="121"/>
      <c r="AR53" s="164"/>
      <c r="AS53" s="168"/>
      <c r="AT53" s="168"/>
      <c r="AU53" s="168"/>
      <c r="AV53" s="168"/>
      <c r="AW53" s="168"/>
      <c r="AX53" s="169"/>
      <c r="AY53" s="121"/>
      <c r="AZ53" s="190"/>
      <c r="BA53" s="71"/>
      <c r="BB53" s="180"/>
      <c r="BC53" s="181"/>
      <c r="BD53" s="181"/>
      <c r="BE53" s="181"/>
      <c r="BF53" s="181"/>
      <c r="BG53" s="181"/>
      <c r="BH53" s="181"/>
      <c r="BI53" s="182"/>
      <c r="BJ53" s="71"/>
      <c r="BK53" s="111">
        <f>N53/ATP_Conditions!$C$7</f>
        <v>3.5714285714285716</v>
      </c>
    </row>
    <row r="54" spans="1:63" ht="15" thickBot="1" x14ac:dyDescent="0.4">
      <c r="A54" s="31">
        <f t="shared" si="17"/>
        <v>50</v>
      </c>
      <c r="B54" s="112">
        <f t="shared" si="1"/>
        <v>51</v>
      </c>
      <c r="C54" s="113">
        <f t="shared" si="14"/>
        <v>46370</v>
      </c>
      <c r="D54" s="114" t="str">
        <f t="shared" si="2"/>
        <v>51-2026</v>
      </c>
      <c r="E54" s="115" t="str">
        <f>_xlfn.IFNA(VLOOKUP(D54,'Race-calendar'!D:F,2,FALSE),"-")</f>
        <v>-</v>
      </c>
      <c r="F54" s="112" t="str">
        <f>_xlfn.IFNA(VLOOKUP($D54,'Race-calendar'!$D:$F,3,FALSE),"-")</f>
        <v>-</v>
      </c>
      <c r="G54" s="116" t="str">
        <f>_xlfn.IFNA(VLOOKUP(D54,'Race-calendar'!D:H,4,FALSE),"-")</f>
        <v>-</v>
      </c>
      <c r="H54" s="117"/>
      <c r="I54" s="154" t="s">
        <v>83</v>
      </c>
      <c r="J54" s="157"/>
      <c r="K54" s="156" t="str">
        <f t="shared" si="15"/>
        <v>Trans</v>
      </c>
      <c r="L54" s="118"/>
      <c r="M54" s="114"/>
      <c r="N54" s="119">
        <f>VLOOKUP(K54,ATP_Conditions!M:N,2,FALSE)</f>
        <v>250</v>
      </c>
      <c r="O54" s="31">
        <f>SUM(T54,W54,Z54,AC54,AF54,AI54,AL54,AO54)+ATP_Conditions!$C$6</f>
        <v>0</v>
      </c>
      <c r="P54" s="32">
        <f t="shared" ca="1" si="16"/>
        <v>0</v>
      </c>
      <c r="Q54" s="106">
        <f t="shared" si="18"/>
        <v>-250</v>
      </c>
      <c r="R54" s="107">
        <f t="shared" ca="1" si="5"/>
        <v>-250</v>
      </c>
      <c r="S54" s="120">
        <f t="shared" si="6"/>
        <v>0</v>
      </c>
      <c r="T54" s="160">
        <v>0</v>
      </c>
      <c r="U54" s="109" cm="1">
        <f t="array" aca="1" ref="U54" ca="1">IF(T$3="None",0,(INDIRECT("TABLE_WTL[@[" &amp; U$4 &amp; "]]")))</f>
        <v>0</v>
      </c>
      <c r="V54" s="120">
        <f t="shared" si="7"/>
        <v>0</v>
      </c>
      <c r="W54" s="160">
        <v>0</v>
      </c>
      <c r="X54" s="109" cm="1">
        <f t="array" aca="1" ref="X54" ca="1">IF(W$3="None",0,(INDIRECT("TABLE_WTL[@[" &amp; X$4 &amp; "]]")))</f>
        <v>0</v>
      </c>
      <c r="Y54" s="120">
        <f t="shared" si="8"/>
        <v>0</v>
      </c>
      <c r="Z54" s="160">
        <v>0</v>
      </c>
      <c r="AA54" s="109" cm="1">
        <f t="array" aca="1" ref="AA54" ca="1">IF(Z$3="None",0,(INDIRECT("TABLE_WTL[@[" &amp; AA$4 &amp; "]]")))</f>
        <v>0</v>
      </c>
      <c r="AB54" s="120">
        <f t="shared" si="9"/>
        <v>0</v>
      </c>
      <c r="AC54" s="160">
        <v>0</v>
      </c>
      <c r="AD54" s="109" cm="1">
        <f t="array" aca="1" ref="AD54" ca="1">IF(AC$3="None",0,(INDIRECT("TABLE_WTL[@[" &amp; AD$4 &amp; "]]")))</f>
        <v>0</v>
      </c>
      <c r="AE54" s="120">
        <f t="shared" si="10"/>
        <v>0</v>
      </c>
      <c r="AF54" s="160">
        <v>0</v>
      </c>
      <c r="AG54" s="109" cm="1">
        <f t="array" aca="1" ref="AG54" ca="1">IF(AF$3="None",0,(INDIRECT("TABLE_WTL[@[" &amp; AG$4 &amp; "]]")))</f>
        <v>0</v>
      </c>
      <c r="AH54" s="120">
        <f t="shared" si="11"/>
        <v>0</v>
      </c>
      <c r="AI54" s="160">
        <v>0</v>
      </c>
      <c r="AJ54" s="109" cm="1">
        <f t="array" aca="1" ref="AJ54" ca="1">IF(AI$3="None",0,(INDIRECT("TABLE_WTL[@[" &amp; AJ$4 &amp; "]]")))</f>
        <v>0</v>
      </c>
      <c r="AK54" s="120">
        <f t="shared" si="12"/>
        <v>0</v>
      </c>
      <c r="AL54" s="160">
        <v>0</v>
      </c>
      <c r="AM54" s="109" cm="1">
        <f t="array" aca="1" ref="AM54" ca="1">IF(AL$3="None",0,(INDIRECT("TABLE_WTL[@[" &amp; AM$4 &amp; "]]")))</f>
        <v>0</v>
      </c>
      <c r="AN54" s="120">
        <f t="shared" si="13"/>
        <v>0</v>
      </c>
      <c r="AO54" s="160">
        <v>0</v>
      </c>
      <c r="AP54" s="109" cm="1">
        <f t="array" aca="1" ref="AP54" ca="1">IF(AO$3="None",0,(INDIRECT("TABLE_WTL[@[" &amp; AP$4 &amp; "]]")))</f>
        <v>0</v>
      </c>
      <c r="AQ54" s="121"/>
      <c r="AR54" s="164"/>
      <c r="AS54" s="168"/>
      <c r="AT54" s="168"/>
      <c r="AU54" s="168"/>
      <c r="AV54" s="168"/>
      <c r="AW54" s="168"/>
      <c r="AX54" s="169"/>
      <c r="AY54" s="121"/>
      <c r="AZ54" s="190"/>
      <c r="BA54" s="71"/>
      <c r="BB54" s="180"/>
      <c r="BC54" s="181"/>
      <c r="BD54" s="181"/>
      <c r="BE54" s="181"/>
      <c r="BF54" s="181"/>
      <c r="BG54" s="181"/>
      <c r="BH54" s="181"/>
      <c r="BI54" s="182"/>
      <c r="BJ54" s="71"/>
      <c r="BK54" s="111">
        <f>N54/ATP_Conditions!$C$7</f>
        <v>3.5714285714285716</v>
      </c>
    </row>
    <row r="55" spans="1:63" ht="15" thickBot="1" x14ac:dyDescent="0.4">
      <c r="A55" s="31">
        <f t="shared" si="17"/>
        <v>51</v>
      </c>
      <c r="B55" s="112">
        <f t="shared" si="1"/>
        <v>52</v>
      </c>
      <c r="C55" s="113">
        <f t="shared" si="14"/>
        <v>46377</v>
      </c>
      <c r="D55" s="114" t="str">
        <f t="shared" si="2"/>
        <v>52-2026</v>
      </c>
      <c r="E55" s="115" t="str">
        <f>_xlfn.IFNA(VLOOKUP(D55,'Race-calendar'!D:F,2,FALSE),"-")</f>
        <v>-</v>
      </c>
      <c r="F55" s="112" t="str">
        <f>_xlfn.IFNA(VLOOKUP($D55,'Race-calendar'!$D:$F,3,FALSE),"-")</f>
        <v>-</v>
      </c>
      <c r="G55" s="116" t="str">
        <f>_xlfn.IFNA(VLOOKUP(D55,'Race-calendar'!D:H,4,FALSE),"-")</f>
        <v>-</v>
      </c>
      <c r="H55" s="117"/>
      <c r="I55" s="154" t="s">
        <v>83</v>
      </c>
      <c r="J55" s="157"/>
      <c r="K55" s="156" t="str">
        <f t="shared" si="15"/>
        <v>Trans</v>
      </c>
      <c r="L55" s="118"/>
      <c r="M55" s="114"/>
      <c r="N55" s="119">
        <f>VLOOKUP(K55,ATP_Conditions!M:N,2,FALSE)</f>
        <v>250</v>
      </c>
      <c r="O55" s="31">
        <f>SUM(T55,W55,Z55,AC55,AF55,AI55,AL55,AO55)+ATP_Conditions!$C$6</f>
        <v>0</v>
      </c>
      <c r="P55" s="32">
        <f t="shared" ca="1" si="16"/>
        <v>0</v>
      </c>
      <c r="Q55" s="106">
        <f t="shared" si="18"/>
        <v>-250</v>
      </c>
      <c r="R55" s="107">
        <f t="shared" ca="1" si="5"/>
        <v>-250</v>
      </c>
      <c r="S55" s="120">
        <f t="shared" si="6"/>
        <v>0</v>
      </c>
      <c r="T55" s="160">
        <v>0</v>
      </c>
      <c r="U55" s="109" cm="1">
        <f t="array" aca="1" ref="U55" ca="1">IF(T$3="None",0,(INDIRECT("TABLE_WTL[@[" &amp; U$4 &amp; "]]")))</f>
        <v>0</v>
      </c>
      <c r="V55" s="120">
        <f t="shared" si="7"/>
        <v>0</v>
      </c>
      <c r="W55" s="160">
        <v>0</v>
      </c>
      <c r="X55" s="109" cm="1">
        <f t="array" aca="1" ref="X55" ca="1">IF(W$3="None",0,(INDIRECT("TABLE_WTL[@[" &amp; X$4 &amp; "]]")))</f>
        <v>0</v>
      </c>
      <c r="Y55" s="120">
        <f t="shared" si="8"/>
        <v>0</v>
      </c>
      <c r="Z55" s="160">
        <v>0</v>
      </c>
      <c r="AA55" s="109" cm="1">
        <f t="array" aca="1" ref="AA55" ca="1">IF(Z$3="None",0,(INDIRECT("TABLE_WTL[@[" &amp; AA$4 &amp; "]]")))</f>
        <v>0</v>
      </c>
      <c r="AB55" s="120">
        <f t="shared" si="9"/>
        <v>0</v>
      </c>
      <c r="AC55" s="160">
        <v>0</v>
      </c>
      <c r="AD55" s="109" cm="1">
        <f t="array" aca="1" ref="AD55" ca="1">IF(AC$3="None",0,(INDIRECT("TABLE_WTL[@[" &amp; AD$4 &amp; "]]")))</f>
        <v>0</v>
      </c>
      <c r="AE55" s="120">
        <f t="shared" si="10"/>
        <v>0</v>
      </c>
      <c r="AF55" s="160">
        <v>0</v>
      </c>
      <c r="AG55" s="109" cm="1">
        <f t="array" aca="1" ref="AG55" ca="1">IF(AF$3="None",0,(INDIRECT("TABLE_WTL[@[" &amp; AG$4 &amp; "]]")))</f>
        <v>0</v>
      </c>
      <c r="AH55" s="120">
        <f t="shared" si="11"/>
        <v>0</v>
      </c>
      <c r="AI55" s="160">
        <v>0</v>
      </c>
      <c r="AJ55" s="109" cm="1">
        <f t="array" aca="1" ref="AJ55" ca="1">IF(AI$3="None",0,(INDIRECT("TABLE_WTL[@[" &amp; AJ$4 &amp; "]]")))</f>
        <v>0</v>
      </c>
      <c r="AK55" s="120">
        <f t="shared" si="12"/>
        <v>0</v>
      </c>
      <c r="AL55" s="160">
        <v>0</v>
      </c>
      <c r="AM55" s="109" cm="1">
        <f t="array" aca="1" ref="AM55" ca="1">IF(AL$3="None",0,(INDIRECT("TABLE_WTL[@[" &amp; AM$4 &amp; "]]")))</f>
        <v>0</v>
      </c>
      <c r="AN55" s="120">
        <f t="shared" si="13"/>
        <v>0</v>
      </c>
      <c r="AO55" s="160">
        <v>0</v>
      </c>
      <c r="AP55" s="109" cm="1">
        <f t="array" aca="1" ref="AP55" ca="1">IF(AO$3="None",0,(INDIRECT("TABLE_WTL[@[" &amp; AP$4 &amp; "]]")))</f>
        <v>0</v>
      </c>
      <c r="AQ55" s="121"/>
      <c r="AR55" s="164"/>
      <c r="AS55" s="168"/>
      <c r="AT55" s="168"/>
      <c r="AU55" s="168"/>
      <c r="AV55" s="168"/>
      <c r="AW55" s="168"/>
      <c r="AX55" s="169"/>
      <c r="AY55" s="121"/>
      <c r="AZ55" s="190"/>
      <c r="BA55" s="71"/>
      <c r="BB55" s="180"/>
      <c r="BC55" s="181"/>
      <c r="BD55" s="181"/>
      <c r="BE55" s="181"/>
      <c r="BF55" s="181"/>
      <c r="BG55" s="181"/>
      <c r="BH55" s="181"/>
      <c r="BI55" s="182"/>
      <c r="BJ55" s="71"/>
      <c r="BK55" s="111">
        <f>N55/ATP_Conditions!$C$7</f>
        <v>3.5714285714285716</v>
      </c>
    </row>
    <row r="56" spans="1:63" ht="15" thickBot="1" x14ac:dyDescent="0.4">
      <c r="A56" s="136">
        <f t="shared" si="17"/>
        <v>52</v>
      </c>
      <c r="B56" s="137">
        <f t="shared" si="1"/>
        <v>53</v>
      </c>
      <c r="C56" s="113">
        <f t="shared" si="14"/>
        <v>46384</v>
      </c>
      <c r="D56" s="138" t="str">
        <f t="shared" si="2"/>
        <v>53-2026</v>
      </c>
      <c r="E56" s="139" t="str">
        <f>_xlfn.IFNA(VLOOKUP(D56,'Race-calendar'!D:F,2,FALSE),"-")</f>
        <v>-</v>
      </c>
      <c r="F56" s="137" t="str">
        <f>_xlfn.IFNA(VLOOKUP($D56,'Race-calendar'!$D:$F,3,FALSE),"-")</f>
        <v>-</v>
      </c>
      <c r="G56" s="140" t="str">
        <f>_xlfn.IFNA(VLOOKUP(D56,'Race-calendar'!D:H,4,FALSE),"-")</f>
        <v>-</v>
      </c>
      <c r="H56" s="141"/>
      <c r="I56" s="158" t="s">
        <v>83</v>
      </c>
      <c r="J56" s="159"/>
      <c r="K56" s="156" t="str">
        <f t="shared" si="15"/>
        <v>Trans</v>
      </c>
      <c r="L56" s="143"/>
      <c r="M56" s="138"/>
      <c r="N56" s="144">
        <f>VLOOKUP(K56,ATP_Conditions!M:N,2,FALSE)</f>
        <v>250</v>
      </c>
      <c r="O56" s="136">
        <f>SUM(T56,W56,Z56,AC56,AF56,AI56,AL56,AO56)+ATP_Conditions!$C$6</f>
        <v>0</v>
      </c>
      <c r="P56" s="142">
        <f t="shared" ca="1" si="16"/>
        <v>0</v>
      </c>
      <c r="Q56" s="145">
        <f t="shared" si="18"/>
        <v>-250</v>
      </c>
      <c r="R56" s="146">
        <f t="shared" ca="1" si="5"/>
        <v>-250</v>
      </c>
      <c r="S56" s="147">
        <f t="shared" si="6"/>
        <v>0</v>
      </c>
      <c r="T56" s="161">
        <v>0</v>
      </c>
      <c r="U56" s="109" cm="1">
        <f t="array" aca="1" ref="U56" ca="1">IF(T$3="None",0,(INDIRECT("TABLE_WTL[@[" &amp; U$4 &amp; "]]")))</f>
        <v>0</v>
      </c>
      <c r="V56" s="147">
        <f t="shared" si="7"/>
        <v>0</v>
      </c>
      <c r="W56" s="161">
        <v>0</v>
      </c>
      <c r="X56" s="109" cm="1">
        <f t="array" aca="1" ref="X56" ca="1">IF(W$3="None",0,(INDIRECT("TABLE_WTL[@[" &amp; X$4 &amp; "]]")))</f>
        <v>0</v>
      </c>
      <c r="Y56" s="147">
        <f t="shared" si="8"/>
        <v>0</v>
      </c>
      <c r="Z56" s="161">
        <v>0</v>
      </c>
      <c r="AA56" s="109" cm="1">
        <f t="array" aca="1" ref="AA56" ca="1">IF(Z$3="None",0,(INDIRECT("TABLE_WTL[@[" &amp; AA$4 &amp; "]]")))</f>
        <v>0</v>
      </c>
      <c r="AB56" s="147">
        <f t="shared" si="9"/>
        <v>0</v>
      </c>
      <c r="AC56" s="161">
        <v>0</v>
      </c>
      <c r="AD56" s="109" cm="1">
        <f t="array" aca="1" ref="AD56" ca="1">IF(AC$3="None",0,(INDIRECT("TABLE_WTL[@[" &amp; AD$4 &amp; "]]")))</f>
        <v>0</v>
      </c>
      <c r="AE56" s="147">
        <f t="shared" si="10"/>
        <v>0</v>
      </c>
      <c r="AF56" s="161">
        <v>0</v>
      </c>
      <c r="AG56" s="109" cm="1">
        <f t="array" aca="1" ref="AG56" ca="1">IF(AF$3="None",0,(INDIRECT("TABLE_WTL[@[" &amp; AG$4 &amp; "]]")))</f>
        <v>0</v>
      </c>
      <c r="AH56" s="147">
        <f t="shared" si="11"/>
        <v>0</v>
      </c>
      <c r="AI56" s="161">
        <v>0</v>
      </c>
      <c r="AJ56" s="109" cm="1">
        <f t="array" aca="1" ref="AJ56" ca="1">IF(AI$3="None",0,(INDIRECT("TABLE_WTL[@[" &amp; AJ$4 &amp; "]]")))</f>
        <v>0</v>
      </c>
      <c r="AK56" s="147">
        <f t="shared" si="12"/>
        <v>0</v>
      </c>
      <c r="AL56" s="161">
        <v>0</v>
      </c>
      <c r="AM56" s="109" cm="1">
        <f t="array" aca="1" ref="AM56" ca="1">IF(AL$3="None",0,(INDIRECT("TABLE_WTL[@[" &amp; AM$4 &amp; "]]")))</f>
        <v>0</v>
      </c>
      <c r="AN56" s="147">
        <f t="shared" si="13"/>
        <v>0</v>
      </c>
      <c r="AO56" s="161">
        <v>0</v>
      </c>
      <c r="AP56" s="109" cm="1">
        <f t="array" aca="1" ref="AP56" ca="1">IF(AO$3="None",0,(INDIRECT("TABLE_WTL[@[" &amp; AP$4 &amp; "]]")))</f>
        <v>0</v>
      </c>
      <c r="AQ56" s="148"/>
      <c r="AR56" s="174"/>
      <c r="AS56" s="175"/>
      <c r="AT56" s="175"/>
      <c r="AU56" s="175"/>
      <c r="AV56" s="175"/>
      <c r="AW56" s="175"/>
      <c r="AX56" s="176"/>
      <c r="AY56" s="148"/>
      <c r="AZ56" s="192"/>
      <c r="BA56" s="71"/>
      <c r="BB56" s="186"/>
      <c r="BC56" s="187"/>
      <c r="BD56" s="187"/>
      <c r="BE56" s="187"/>
      <c r="BF56" s="187"/>
      <c r="BG56" s="187"/>
      <c r="BH56" s="187"/>
      <c r="BI56" s="188"/>
      <c r="BJ56" s="71"/>
      <c r="BK56" s="111">
        <f>N56/ATP_Conditions!$C$7</f>
        <v>3.5714285714285716</v>
      </c>
    </row>
    <row r="57" spans="1:63" x14ac:dyDescent="0.35">
      <c r="C57" s="4"/>
      <c r="D57" s="1"/>
    </row>
    <row r="58" spans="1:63" x14ac:dyDescent="0.35">
      <c r="C58" s="4"/>
      <c r="D58" s="1"/>
    </row>
    <row r="59" spans="1:63" x14ac:dyDescent="0.35">
      <c r="C59" s="4"/>
      <c r="D59" s="1"/>
    </row>
    <row r="60" spans="1:63" x14ac:dyDescent="0.35">
      <c r="C60" s="4"/>
      <c r="D60" s="1"/>
    </row>
    <row r="61" spans="1:63" x14ac:dyDescent="0.35">
      <c r="C61" s="4"/>
      <c r="D61" s="1"/>
    </row>
    <row r="62" spans="1:63" x14ac:dyDescent="0.35">
      <c r="C62" s="4"/>
      <c r="D62" s="1"/>
    </row>
    <row r="63" spans="1:63" x14ac:dyDescent="0.35">
      <c r="C63" s="4"/>
      <c r="D63" s="1"/>
    </row>
    <row r="64" spans="1:63" x14ac:dyDescent="0.35">
      <c r="C64" s="4"/>
      <c r="D64" s="1"/>
    </row>
    <row r="65" spans="3:4" x14ac:dyDescent="0.35">
      <c r="C65" s="4"/>
      <c r="D65" s="1"/>
    </row>
    <row r="66" spans="3:4" x14ac:dyDescent="0.35">
      <c r="C66" s="4"/>
      <c r="D66" s="1"/>
    </row>
    <row r="67" spans="3:4" x14ac:dyDescent="0.35">
      <c r="C67" s="4"/>
      <c r="D67" s="1"/>
    </row>
    <row r="68" spans="3:4" x14ac:dyDescent="0.35">
      <c r="C68" s="4"/>
      <c r="D68" s="1"/>
    </row>
    <row r="69" spans="3:4" x14ac:dyDescent="0.35">
      <c r="C69" s="4"/>
      <c r="D69" s="1"/>
    </row>
    <row r="70" spans="3:4" x14ac:dyDescent="0.35">
      <c r="C70" s="4"/>
      <c r="D70" s="1"/>
    </row>
    <row r="71" spans="3:4" x14ac:dyDescent="0.35">
      <c r="C71" s="4"/>
      <c r="D71" s="1"/>
    </row>
    <row r="72" spans="3:4" x14ac:dyDescent="0.35">
      <c r="C72" s="4"/>
      <c r="D72" s="1"/>
    </row>
    <row r="73" spans="3:4" x14ac:dyDescent="0.35">
      <c r="C73" s="4"/>
      <c r="D73" s="1"/>
    </row>
    <row r="74" spans="3:4" x14ac:dyDescent="0.35">
      <c r="C74" s="4"/>
      <c r="D74" s="1"/>
    </row>
    <row r="75" spans="3:4" x14ac:dyDescent="0.35">
      <c r="C75" s="4"/>
      <c r="D75" s="1"/>
    </row>
    <row r="76" spans="3:4" x14ac:dyDescent="0.35">
      <c r="C76" s="4"/>
      <c r="D76" s="1"/>
    </row>
    <row r="77" spans="3:4" x14ac:dyDescent="0.35">
      <c r="C77" s="4"/>
      <c r="D77" s="1"/>
    </row>
    <row r="78" spans="3:4" x14ac:dyDescent="0.35">
      <c r="C78" s="4"/>
      <c r="D78" s="1"/>
    </row>
    <row r="79" spans="3:4" x14ac:dyDescent="0.35">
      <c r="C79" s="4"/>
      <c r="D79" s="1"/>
    </row>
    <row r="80" spans="3:4" x14ac:dyDescent="0.35">
      <c r="C80" s="4"/>
      <c r="D80" s="1"/>
    </row>
    <row r="81" spans="3:4" x14ac:dyDescent="0.35">
      <c r="C81" s="4"/>
      <c r="D81" s="1"/>
    </row>
    <row r="82" spans="3:4" x14ac:dyDescent="0.35">
      <c r="C82" s="4"/>
      <c r="D82" s="1"/>
    </row>
    <row r="83" spans="3:4" x14ac:dyDescent="0.35">
      <c r="C83" s="4"/>
      <c r="D83" s="1"/>
    </row>
    <row r="84" spans="3:4" x14ac:dyDescent="0.35">
      <c r="C84" s="4"/>
      <c r="D84" s="1"/>
    </row>
    <row r="85" spans="3:4" x14ac:dyDescent="0.35">
      <c r="C85" s="4"/>
      <c r="D85" s="1"/>
    </row>
    <row r="86" spans="3:4" x14ac:dyDescent="0.35">
      <c r="C86" s="4"/>
      <c r="D86" s="1"/>
    </row>
    <row r="87" spans="3:4" x14ac:dyDescent="0.35">
      <c r="C87" s="4"/>
      <c r="D87" s="1"/>
    </row>
    <row r="88" spans="3:4" x14ac:dyDescent="0.35">
      <c r="C88" s="4"/>
      <c r="D88" s="1"/>
    </row>
    <row r="89" spans="3:4" x14ac:dyDescent="0.35">
      <c r="C89" s="4"/>
      <c r="D89" s="1"/>
    </row>
    <row r="90" spans="3:4" x14ac:dyDescent="0.35">
      <c r="C90" s="4"/>
      <c r="D90" s="1"/>
    </row>
    <row r="91" spans="3:4" x14ac:dyDescent="0.35">
      <c r="C91" s="4"/>
      <c r="D91" s="1"/>
    </row>
    <row r="92" spans="3:4" x14ac:dyDescent="0.35">
      <c r="C92" s="4"/>
      <c r="D92" s="1"/>
    </row>
    <row r="93" spans="3:4" x14ac:dyDescent="0.35">
      <c r="C93" s="4"/>
      <c r="D93" s="1"/>
    </row>
    <row r="94" spans="3:4" x14ac:dyDescent="0.35">
      <c r="C94" s="4"/>
      <c r="D94" s="1"/>
    </row>
    <row r="95" spans="3:4" x14ac:dyDescent="0.35">
      <c r="C95" s="4"/>
      <c r="D95" s="1"/>
    </row>
    <row r="96" spans="3:4" x14ac:dyDescent="0.35">
      <c r="C96" s="4"/>
      <c r="D96" s="1"/>
    </row>
    <row r="97" spans="3:4" x14ac:dyDescent="0.35">
      <c r="C97" s="4"/>
      <c r="D97" s="1"/>
    </row>
    <row r="98" spans="3:4" x14ac:dyDescent="0.35">
      <c r="C98" s="4"/>
      <c r="D98" s="1"/>
    </row>
    <row r="99" spans="3:4" x14ac:dyDescent="0.35">
      <c r="C99" s="4"/>
      <c r="D99" s="1"/>
    </row>
    <row r="100" spans="3:4" x14ac:dyDescent="0.35">
      <c r="C100" s="4"/>
      <c r="D100" s="1"/>
    </row>
    <row r="101" spans="3:4" x14ac:dyDescent="0.35">
      <c r="C101" s="4"/>
      <c r="D101" s="1"/>
    </row>
    <row r="102" spans="3:4" x14ac:dyDescent="0.35">
      <c r="C102" s="4"/>
      <c r="D102" s="1"/>
    </row>
    <row r="103" spans="3:4" x14ac:dyDescent="0.35">
      <c r="C103" s="4"/>
      <c r="D103" s="1"/>
    </row>
    <row r="104" spans="3:4" x14ac:dyDescent="0.35">
      <c r="C104" s="4"/>
      <c r="D104" s="1"/>
    </row>
    <row r="105" spans="3:4" x14ac:dyDescent="0.35">
      <c r="C105" s="4"/>
      <c r="D105" s="1"/>
    </row>
    <row r="106" spans="3:4" x14ac:dyDescent="0.35">
      <c r="C106" s="4"/>
      <c r="D106" s="1"/>
    </row>
    <row r="107" spans="3:4" x14ac:dyDescent="0.35">
      <c r="C107" s="4"/>
      <c r="D107" s="1"/>
    </row>
    <row r="119" spans="3:52" x14ac:dyDescent="0.35">
      <c r="C119" s="2"/>
      <c r="D119" s="2"/>
      <c r="E119" s="149"/>
      <c r="I119"/>
      <c r="J119" s="150"/>
      <c r="K119" s="150"/>
      <c r="M119" s="151"/>
      <c r="N119" s="151"/>
      <c r="O119" s="15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M119" s="151"/>
      <c r="AN119" s="151"/>
      <c r="AO119" s="151"/>
      <c r="AP119" s="151"/>
      <c r="AQ119" s="151"/>
      <c r="AR119" s="151"/>
      <c r="AY119" s="151"/>
      <c r="AZ119" s="151"/>
    </row>
    <row r="120" spans="3:52" x14ac:dyDescent="0.35">
      <c r="J120" s="150"/>
      <c r="K120" s="150"/>
    </row>
  </sheetData>
  <mergeCells count="19">
    <mergeCell ref="I3:I4"/>
    <mergeCell ref="J3:J4"/>
    <mergeCell ref="A3:A4"/>
    <mergeCell ref="B3:B4"/>
    <mergeCell ref="C3:C4"/>
    <mergeCell ref="D3:D4"/>
    <mergeCell ref="E3:E4"/>
    <mergeCell ref="T2:AP2"/>
    <mergeCell ref="O3:R3"/>
    <mergeCell ref="AR3:AX3"/>
    <mergeCell ref="BB3:BI3"/>
    <mergeCell ref="T3:U3"/>
    <mergeCell ref="W3:X3"/>
    <mergeCell ref="Z3:AA3"/>
    <mergeCell ref="AC3:AD3"/>
    <mergeCell ref="AI3:AJ3"/>
    <mergeCell ref="AF3:AG3"/>
    <mergeCell ref="AL3:AM3"/>
    <mergeCell ref="AO3:AP3"/>
  </mergeCells>
  <phoneticPr fontId="4" type="noConversion"/>
  <conditionalFormatting sqref="T3:U3 W3:X3 Z3:AA3 AC3:AD3 AF3:AG3 AI3:AJ3 AL3:AM3 AO3:AP3">
    <cfRule type="duplicateValues" dxfId="36" priority="28"/>
  </conditionalFormatting>
  <conditionalFormatting sqref="I5:K56">
    <cfRule type="expression" dxfId="35" priority="2">
      <formula>$I5="Build 2"</formula>
    </cfRule>
    <cfRule type="expression" dxfId="34" priority="3">
      <formula>$I5="Build 1"</formula>
    </cfRule>
    <cfRule type="expression" dxfId="33" priority="4">
      <formula>$I5="Base 3"</formula>
    </cfRule>
    <cfRule type="expression" dxfId="32" priority="5">
      <formula>$I5="Base 1"</formula>
    </cfRule>
    <cfRule type="expression" dxfId="31" priority="6">
      <formula>$I5="Base 2"</formula>
    </cfRule>
    <cfRule type="expression" dxfId="30" priority="7">
      <formula>$I5="Taper"</formula>
    </cfRule>
    <cfRule type="expression" dxfId="29" priority="8">
      <formula>$I5="Trans"</formula>
    </cfRule>
    <cfRule type="expression" dxfId="28" priority="9">
      <formula>$I5="Prep"</formula>
    </cfRule>
    <cfRule type="expression" dxfId="27" priority="10">
      <formula>$I5="Race"</formula>
    </cfRule>
    <cfRule type="expression" dxfId="26" priority="11">
      <formula>$I5="Peak"</formula>
    </cfRule>
  </conditionalFormatting>
  <dataValidations count="2">
    <dataValidation type="list" allowBlank="1" showInputMessage="1" showErrorMessage="1" sqref="F57:H107" xr:uid="{078C86A1-A000-4626-9381-0DE2B36CF8AC}">
      <formula1>"A,B,C"</formula1>
    </dataValidation>
    <dataValidation type="list" allowBlank="1" showInputMessage="1" showErrorMessage="1" sqref="I57:I107" xr:uid="{3D489DAE-5C74-4AD7-91C9-221B653DE48C}">
      <formula1>Mesocycle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0" r:id="rId4" name="Button 6">
              <controlPr defaultSize="0" print="0" autoFill="0" autoPict="0" macro="[0]!TARGET_FILL_FROM_ACTUALLOAD">
                <anchor moveWithCells="1" sizeWithCells="1">
                  <from>
                    <xdr:col>13</xdr:col>
                    <xdr:colOff>69850</xdr:colOff>
                    <xdr:row>3</xdr:row>
                    <xdr:rowOff>400050</xdr:rowOff>
                  </from>
                  <to>
                    <xdr:col>13</xdr:col>
                    <xdr:colOff>692150</xdr:colOff>
                    <xdr:row>3</xdr:row>
                    <xdr:rowOff>1174750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DELETE_ROUND_FROM_ACTUALLOAD">
                <anchor moveWithCells="1" sizeWithCells="1">
                  <from>
                    <xdr:col>13</xdr:col>
                    <xdr:colOff>69850</xdr:colOff>
                    <xdr:row>3</xdr:row>
                    <xdr:rowOff>1231900</xdr:rowOff>
                  </from>
                  <to>
                    <xdr:col>13</xdr:col>
                    <xdr:colOff>698500</xdr:colOff>
                    <xdr:row>3</xdr:row>
                    <xdr:rowOff>2076450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7" id="{9C5701A1-58F4-44C2-8290-64495728A5B3}">
            <xm:f>AND(Q5&gt;=-(ATP_Conditions!$C$9),Q5&lt;=(ATP_Conditions!$C$9))</xm:f>
            <x14:dxf>
              <fill>
                <patternFill>
                  <bgColor rgb="FF92D050"/>
                </patternFill>
              </fill>
            </x14:dxf>
          </x14:cfRule>
          <x14:cfRule type="expression" priority="138" id="{8DE8FE13-A010-4575-AFF4-A09D4DFC9F34}">
            <xm:f>AND(Q5&gt;(ATP_Conditions!$C$9),Q5&lt;(ATP_Conditions!$C$10))</xm:f>
            <x14:dxf>
              <fill>
                <patternFill>
                  <bgColor rgb="FFFFC000"/>
                </patternFill>
              </fill>
            </x14:dxf>
          </x14:cfRule>
          <x14:cfRule type="expression" priority="139" id="{8E3AA47F-3CCD-4C4F-AB64-1CC74108A573}">
            <xm:f>Q5&gt;=(ATP_Conditions!$C$10)</xm:f>
            <x14:dxf>
              <fill>
                <patternFill>
                  <bgColor rgb="FFFF0000"/>
                </patternFill>
              </fill>
            </x14:dxf>
          </x14:cfRule>
          <x14:cfRule type="expression" priority="140" id="{50AE348A-97CA-4D54-9C50-978AA5191F0B}">
            <xm:f>Q5&lt;=-(ATP_Conditions!$C$10)</xm:f>
            <x14:dxf>
              <fill>
                <patternFill>
                  <bgColor rgb="FFFF0000"/>
                </patternFill>
              </fill>
            </x14:dxf>
          </x14:cfRule>
          <x14:cfRule type="expression" priority="141" id="{864EDF5D-55BF-41A9-87B9-7E5F7B1C6DCE}">
            <xm:f>AND(Q5&lt;-(ATP_Conditions!$C$9),Q5&gt;-(ATP_Conditions!$C$10))</xm:f>
            <x14:dxf>
              <fill>
                <patternFill>
                  <bgColor rgb="FFFFC000"/>
                </patternFill>
              </fill>
            </x14:dxf>
          </x14:cfRule>
          <xm:sqref>Q5:R56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1631255-EEFE-4F30-94E4-28FAC5021F18}">
          <x14:formula1>
            <xm:f>Lists!$C$2:$C$5</xm:f>
          </x14:formula1>
          <xm:sqref>AR24:AX56 AX14:AX15 AV14:AV15 AV16:AX23 AV5:AX13 AW14 AU5:AU22 AR5:AT23</xm:sqref>
        </x14:dataValidation>
        <x14:dataValidation type="list" allowBlank="1" showInputMessage="1" showErrorMessage="1" xr:uid="{E8BF063A-8F53-4953-8EFE-FB0D2A72F5E5}">
          <x14:formula1>
            <xm:f>Lists!$G$2:$G$13</xm:f>
          </x14:formula1>
          <xm:sqref>T3:U3 W3:X3 AO3:AP3 Z3:AA3 AC3:AD3 AI3:AJ3 AL3:AM3 AF3:AG3</xm:sqref>
        </x14:dataValidation>
        <x14:dataValidation type="list" allowBlank="1" showInputMessage="1" showErrorMessage="1" xr:uid="{D7763621-DD76-4FBB-A748-1386FC0B2BA4}">
          <x14:formula1>
            <xm:f>Lists!$H$2:$H$4</xm:f>
          </x14:formula1>
          <xm:sqref>AZ5</xm:sqref>
        </x14:dataValidation>
        <x14:dataValidation type="list" allowBlank="1" showInputMessage="1" showErrorMessage="1" xr:uid="{36CEEF8F-5A3B-4AB4-B33F-F83C643155A5}">
          <x14:formula1>
            <xm:f>Lists!$C$2:$C$16</xm:f>
          </x14:formula1>
          <xm:sqref>J5:J56</xm:sqref>
        </x14:dataValidation>
        <x14:dataValidation type="list" allowBlank="1" showInputMessage="1" showErrorMessage="1" xr:uid="{0D926E52-109D-43D7-B1F9-31EB9063FB51}">
          <x14:formula1>
            <xm:f>Lists!$B$2:$B$10</xm:f>
          </x14:formula1>
          <xm:sqref>I5:I56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72A5-0B30-4A43-A155-F85A10DAF706}">
  <sheetPr codeName="Blad13"/>
  <dimension ref="A1:AC53"/>
  <sheetViews>
    <sheetView topLeftCell="A2" workbookViewId="0">
      <selection activeCell="D33" sqref="D32:D33"/>
    </sheetView>
  </sheetViews>
  <sheetFormatPr defaultRowHeight="14.5" x14ac:dyDescent="0.35"/>
  <cols>
    <col min="1" max="1" width="18.1796875" customWidth="1"/>
    <col min="2" max="2" width="10.7265625" customWidth="1"/>
    <col min="3" max="3" width="26.36328125" customWidth="1"/>
    <col min="4" max="4" width="5.6328125" bestFit="1" customWidth="1"/>
    <col min="5" max="5" width="11.453125" bestFit="1" customWidth="1"/>
    <col min="6" max="6" width="11.453125" customWidth="1"/>
    <col min="7" max="7" width="14.6328125" bestFit="1" customWidth="1"/>
    <col min="8" max="8" width="18.90625" bestFit="1" customWidth="1"/>
    <col min="9" max="12" width="3.1796875" customWidth="1"/>
    <col min="13" max="13" width="13.90625" bestFit="1" customWidth="1"/>
    <col min="14" max="14" width="12.26953125" bestFit="1" customWidth="1"/>
    <col min="15" max="18" width="3.1796875" customWidth="1"/>
    <col min="19" max="19" width="14" bestFit="1" customWidth="1"/>
    <col min="20" max="20" width="3.1796875" customWidth="1"/>
    <col min="21" max="21" width="3.36328125" customWidth="1"/>
    <col min="22" max="22" width="14.7265625" bestFit="1" customWidth="1"/>
    <col min="23" max="23" width="18.453125" bestFit="1" customWidth="1"/>
    <col min="25" max="25" width="27" bestFit="1" customWidth="1"/>
    <col min="26" max="26" width="22" bestFit="1" customWidth="1"/>
    <col min="27" max="27" width="25.90625" bestFit="1" customWidth="1"/>
    <col min="28" max="28" width="18.08984375" bestFit="1" customWidth="1"/>
    <col min="29" max="29" width="15.90625" bestFit="1" customWidth="1"/>
  </cols>
  <sheetData>
    <row r="1" spans="1:29" ht="87.5" thickBot="1" x14ac:dyDescent="0.4">
      <c r="A1" t="s">
        <v>13</v>
      </c>
      <c r="B1" t="s">
        <v>30</v>
      </c>
      <c r="C1" t="s">
        <v>14</v>
      </c>
      <c r="D1" t="s">
        <v>31</v>
      </c>
      <c r="E1" t="s">
        <v>34</v>
      </c>
      <c r="F1" t="s">
        <v>33</v>
      </c>
      <c r="G1" t="s">
        <v>6</v>
      </c>
      <c r="H1" t="s">
        <v>7</v>
      </c>
      <c r="I1" t="s">
        <v>24</v>
      </c>
      <c r="J1" t="s">
        <v>8</v>
      </c>
      <c r="K1" t="s">
        <v>9</v>
      </c>
      <c r="L1" t="s">
        <v>10</v>
      </c>
      <c r="M1" t="s">
        <v>11</v>
      </c>
      <c r="N1" s="92" t="s">
        <v>248</v>
      </c>
      <c r="O1" s="93" t="s">
        <v>249</v>
      </c>
      <c r="P1" s="93" t="s">
        <v>29</v>
      </c>
      <c r="Q1" s="93" t="s">
        <v>250</v>
      </c>
      <c r="R1" s="93" t="s">
        <v>251</v>
      </c>
      <c r="S1" s="93" t="s">
        <v>252</v>
      </c>
      <c r="T1" s="93" t="s">
        <v>253</v>
      </c>
      <c r="U1" s="94" t="s">
        <v>254</v>
      </c>
      <c r="V1" t="str">
        <f>ATP_fill!T4</f>
        <v>Run_load_target</v>
      </c>
      <c r="W1" t="str">
        <f>ATP_fill!W4</f>
        <v>TrailRun_load_target</v>
      </c>
      <c r="X1" t="str">
        <f>ATP_fill!Z4</f>
        <v>Ride_load_target</v>
      </c>
      <c r="Y1" t="str">
        <f>ATP_fill!AC4</f>
        <v>MountainBikeRide_load_target</v>
      </c>
      <c r="Z1" t="str">
        <f>ATP_fill!AF4</f>
        <v>Swim_load_target</v>
      </c>
      <c r="AA1" t="str">
        <f>ATP_fill!AI4</f>
        <v>OpenWaterSwim_load_target</v>
      </c>
      <c r="AB1" t="str">
        <f>ATP_fill!AL4</f>
        <v>None_load_target</v>
      </c>
      <c r="AC1" t="str">
        <f>ATP_fill!AO4</f>
        <v>None_load_target</v>
      </c>
    </row>
    <row r="2" spans="1:29" x14ac:dyDescent="0.35">
      <c r="A2" s="4">
        <f>IF(ATP_fill!C5=0,"",ATP_fill!C5)</f>
        <v>46027</v>
      </c>
      <c r="B2" t="str">
        <f>ATP_fill!I5</f>
        <v>Trans</v>
      </c>
      <c r="C2" t="str">
        <f>ATP_fill!E5</f>
        <v>-</v>
      </c>
      <c r="D2" t="str">
        <f>ATP_fill!F5</f>
        <v>-</v>
      </c>
      <c r="E2" s="2" t="str">
        <f>ATP_fill!G5</f>
        <v>-</v>
      </c>
      <c r="F2" s="12">
        <f>ATP_fill!AZ5</f>
        <v>0</v>
      </c>
      <c r="G2">
        <f>ATP_fill!AR5</f>
        <v>0</v>
      </c>
      <c r="H2">
        <f>ATP_fill!AS5</f>
        <v>0</v>
      </c>
      <c r="I2">
        <f>ATP_fill!AT5</f>
        <v>0</v>
      </c>
      <c r="J2">
        <f>ATP_fill!AU5</f>
        <v>0</v>
      </c>
      <c r="K2">
        <f>ATP_fill!AV5</f>
        <v>0</v>
      </c>
      <c r="L2">
        <f>ATP_fill!AW5</f>
        <v>0</v>
      </c>
      <c r="M2">
        <f>ATP_fill!AX5</f>
        <v>0</v>
      </c>
      <c r="N2" s="1">
        <f>ATP_fill!BB5</f>
        <v>20</v>
      </c>
      <c r="O2" s="1">
        <f>ATP_fill!BC5</f>
        <v>1000</v>
      </c>
      <c r="P2" s="1">
        <f>ATP_fill!BD5</f>
        <v>180</v>
      </c>
      <c r="Q2" s="1">
        <f>ATP_fill!BE5</f>
        <v>100</v>
      </c>
      <c r="R2" s="1">
        <f>ATP_fill!BF5</f>
        <v>60</v>
      </c>
      <c r="S2" s="1">
        <f>ATP_fill!BG5</f>
        <v>10</v>
      </c>
      <c r="T2" s="1">
        <f>ATP_fill!BH5</f>
        <v>90</v>
      </c>
      <c r="U2" s="1">
        <f>ATP_fill!BI5</f>
        <v>12</v>
      </c>
      <c r="V2">
        <f>ATP_fill!T5</f>
        <v>0</v>
      </c>
      <c r="W2">
        <f>ATP_fill!W5</f>
        <v>50</v>
      </c>
      <c r="X2">
        <f>ATP_fill!Z5</f>
        <v>100</v>
      </c>
      <c r="Y2">
        <f>ATP_fill!AC5</f>
        <v>150</v>
      </c>
      <c r="Z2">
        <f>ATP_fill!AF5</f>
        <v>0</v>
      </c>
      <c r="AA2">
        <f>ATP_fill!AI5</f>
        <v>0</v>
      </c>
      <c r="AB2">
        <f>ATP_fill!AL5</f>
        <v>0</v>
      </c>
      <c r="AC2">
        <f>ATP_fill!AO5</f>
        <v>0</v>
      </c>
    </row>
    <row r="3" spans="1:29" x14ac:dyDescent="0.35">
      <c r="A3" s="4">
        <f>IF(ATP_fill!C6=0,"",ATP_fill!C6)</f>
        <v>46034</v>
      </c>
      <c r="B3" t="str">
        <f>ATP_fill!I6</f>
        <v>Base 2</v>
      </c>
      <c r="C3" t="str">
        <f>ATP_fill!E6</f>
        <v>-</v>
      </c>
      <c r="D3" t="str">
        <f>ATP_fill!F6</f>
        <v>-</v>
      </c>
      <c r="E3" s="2" t="str">
        <f>ATP_fill!G6</f>
        <v>-</v>
      </c>
      <c r="F3" s="12" t="str">
        <f>ATP_fill!AZ6</f>
        <v xml:space="preserve">FTP </v>
      </c>
      <c r="G3">
        <f>ATP_fill!AR6</f>
        <v>0</v>
      </c>
      <c r="H3" t="str">
        <f>ATP_fill!AS6</f>
        <v>1</v>
      </c>
      <c r="I3">
        <f>ATP_fill!AT6</f>
        <v>0</v>
      </c>
      <c r="J3" t="str">
        <f>ATP_fill!AU6</f>
        <v>1</v>
      </c>
      <c r="K3" t="str">
        <f>ATP_fill!AV6</f>
        <v>1</v>
      </c>
      <c r="L3">
        <f>ATP_fill!AW6</f>
        <v>0</v>
      </c>
      <c r="M3">
        <f>ATP_fill!AX6</f>
        <v>0</v>
      </c>
      <c r="N3" s="1">
        <f>ATP_fill!BB6</f>
        <v>0</v>
      </c>
      <c r="O3" s="1">
        <f>ATP_fill!BC6</f>
        <v>0</v>
      </c>
      <c r="P3" s="1">
        <f>ATP_fill!BD6</f>
        <v>0</v>
      </c>
      <c r="Q3" s="1">
        <f>ATP_fill!BE6</f>
        <v>0</v>
      </c>
      <c r="R3" s="1">
        <f>ATP_fill!BF6</f>
        <v>0</v>
      </c>
      <c r="S3" s="1">
        <f>ATP_fill!BG6</f>
        <v>0</v>
      </c>
      <c r="T3" s="1">
        <f>ATP_fill!BH6</f>
        <v>0</v>
      </c>
      <c r="U3" s="1">
        <f>ATP_fill!BI6</f>
        <v>0</v>
      </c>
      <c r="V3">
        <f>ATP_fill!T6</f>
        <v>100</v>
      </c>
      <c r="W3">
        <f>ATP_fill!W6</f>
        <v>0</v>
      </c>
      <c r="X3">
        <f>ATP_fill!Z6</f>
        <v>230</v>
      </c>
      <c r="Y3">
        <f>ATP_fill!AC6</f>
        <v>150</v>
      </c>
      <c r="Z3">
        <f>ATP_fill!AF6</f>
        <v>0</v>
      </c>
      <c r="AA3">
        <f>ATP_fill!AI6</f>
        <v>0</v>
      </c>
      <c r="AB3">
        <f>ATP_fill!AL6</f>
        <v>0</v>
      </c>
      <c r="AC3">
        <f>ATP_fill!AO6</f>
        <v>0</v>
      </c>
    </row>
    <row r="4" spans="1:29" x14ac:dyDescent="0.35">
      <c r="A4" s="4">
        <f>IF(ATP_fill!C7=0,"",ATP_fill!C7)</f>
        <v>46041</v>
      </c>
      <c r="B4" t="str">
        <f>ATP_fill!I7</f>
        <v>Base 2</v>
      </c>
      <c r="C4" t="str">
        <f>ATP_fill!E7</f>
        <v>-</v>
      </c>
      <c r="D4" t="str">
        <f>ATP_fill!F7</f>
        <v>-</v>
      </c>
      <c r="E4" s="2" t="str">
        <f>ATP_fill!G7</f>
        <v>-</v>
      </c>
      <c r="F4" s="12" t="str">
        <f>ATP_fill!AZ7</f>
        <v>AeT</v>
      </c>
      <c r="G4">
        <f>ATP_fill!AR7</f>
        <v>0</v>
      </c>
      <c r="H4" t="str">
        <f>ATP_fill!AS7</f>
        <v>1</v>
      </c>
      <c r="I4" t="str">
        <f>ATP_fill!AT7</f>
        <v>1</v>
      </c>
      <c r="J4" t="str">
        <f>ATP_fill!AU7</f>
        <v>1</v>
      </c>
      <c r="K4" t="str">
        <f>ATP_fill!AV7</f>
        <v>1</v>
      </c>
      <c r="L4">
        <f>ATP_fill!AW7</f>
        <v>0</v>
      </c>
      <c r="M4">
        <f>ATP_fill!AX7</f>
        <v>0</v>
      </c>
      <c r="N4" s="1">
        <f>ATP_fill!BB7</f>
        <v>0</v>
      </c>
      <c r="O4" s="1">
        <f>ATP_fill!BC7</f>
        <v>0</v>
      </c>
      <c r="P4" s="1">
        <f>ATP_fill!BD7</f>
        <v>0</v>
      </c>
      <c r="Q4" s="1">
        <f>ATP_fill!BE7</f>
        <v>0</v>
      </c>
      <c r="R4" s="1">
        <f>ATP_fill!BF7</f>
        <v>0</v>
      </c>
      <c r="S4" s="1">
        <f>ATP_fill!BG7</f>
        <v>0</v>
      </c>
      <c r="T4" s="1">
        <f>ATP_fill!BH7</f>
        <v>0</v>
      </c>
      <c r="U4" s="1">
        <f>ATP_fill!BI7</f>
        <v>0</v>
      </c>
      <c r="V4">
        <f>ATP_fill!T7</f>
        <v>140</v>
      </c>
      <c r="W4">
        <f>ATP_fill!W7</f>
        <v>0</v>
      </c>
      <c r="X4">
        <f>ATP_fill!Z7</f>
        <v>260</v>
      </c>
      <c r="Y4">
        <f>ATP_fill!AC7</f>
        <v>150</v>
      </c>
      <c r="Z4">
        <f>ATP_fill!AF7</f>
        <v>0</v>
      </c>
      <c r="AA4">
        <f>ATP_fill!AI7</f>
        <v>0</v>
      </c>
      <c r="AB4">
        <f>ATP_fill!AL7</f>
        <v>0</v>
      </c>
      <c r="AC4">
        <f>ATP_fill!AO7</f>
        <v>0</v>
      </c>
    </row>
    <row r="5" spans="1:29" x14ac:dyDescent="0.35">
      <c r="A5" s="4">
        <f>IF(ATP_fill!C8=0,"",ATP_fill!C8)</f>
        <v>46048</v>
      </c>
      <c r="B5" t="str">
        <f>ATP_fill!I8</f>
        <v>Base 2</v>
      </c>
      <c r="C5" t="str">
        <f>ATP_fill!E8</f>
        <v>-</v>
      </c>
      <c r="D5" t="str">
        <f>ATP_fill!F8</f>
        <v>-</v>
      </c>
      <c r="E5" s="2" t="str">
        <f>ATP_fill!G8</f>
        <v>-</v>
      </c>
      <c r="F5" s="12">
        <f>ATP_fill!AZ8</f>
        <v>0</v>
      </c>
      <c r="G5">
        <f>ATP_fill!AR8</f>
        <v>0</v>
      </c>
      <c r="H5" t="str">
        <f>ATP_fill!AS8</f>
        <v>1</v>
      </c>
      <c r="I5">
        <f>ATP_fill!AT8</f>
        <v>0</v>
      </c>
      <c r="J5" t="str">
        <f>ATP_fill!AU8</f>
        <v>1</v>
      </c>
      <c r="K5" t="str">
        <f>ATP_fill!AV8</f>
        <v>1</v>
      </c>
      <c r="L5">
        <f>ATP_fill!AW8</f>
        <v>0</v>
      </c>
      <c r="M5">
        <f>ATP_fill!AX8</f>
        <v>0</v>
      </c>
      <c r="N5" s="1">
        <f>ATP_fill!BB8</f>
        <v>0</v>
      </c>
      <c r="O5" s="1">
        <f>ATP_fill!BC8</f>
        <v>0</v>
      </c>
      <c r="P5" s="1">
        <f>ATP_fill!BD8</f>
        <v>0</v>
      </c>
      <c r="Q5" s="1">
        <f>ATP_fill!BE8</f>
        <v>0</v>
      </c>
      <c r="R5" s="1">
        <f>ATP_fill!BF8</f>
        <v>0</v>
      </c>
      <c r="S5" s="1">
        <f>ATP_fill!BG8</f>
        <v>0</v>
      </c>
      <c r="T5" s="1">
        <f>ATP_fill!BH8</f>
        <v>0</v>
      </c>
      <c r="U5" s="1">
        <f>ATP_fill!BI8</f>
        <v>0</v>
      </c>
      <c r="V5">
        <f>ATP_fill!T8</f>
        <v>100</v>
      </c>
      <c r="W5">
        <f>ATP_fill!W8</f>
        <v>0</v>
      </c>
      <c r="X5">
        <f>ATP_fill!Z8</f>
        <v>150</v>
      </c>
      <c r="Y5">
        <f>ATP_fill!AC8</f>
        <v>150</v>
      </c>
      <c r="Z5">
        <f>ATP_fill!AF8</f>
        <v>0</v>
      </c>
      <c r="AA5">
        <f>ATP_fill!AI8</f>
        <v>0</v>
      </c>
      <c r="AB5">
        <f>ATP_fill!AL8</f>
        <v>0</v>
      </c>
      <c r="AC5">
        <f>ATP_fill!AO8</f>
        <v>0</v>
      </c>
    </row>
    <row r="6" spans="1:29" x14ac:dyDescent="0.35">
      <c r="A6" s="4">
        <f>IF(ATP_fill!C9=0,"",ATP_fill!C9)</f>
        <v>46055</v>
      </c>
      <c r="B6" t="str">
        <f>ATP_fill!I9</f>
        <v>Base 3</v>
      </c>
      <c r="C6" t="str">
        <f>ATP_fill!E9</f>
        <v>-</v>
      </c>
      <c r="D6" t="str">
        <f>ATP_fill!F9</f>
        <v>-</v>
      </c>
      <c r="E6" s="2" t="str">
        <f>ATP_fill!G9</f>
        <v>-</v>
      </c>
      <c r="F6" s="12">
        <f>ATP_fill!AZ9</f>
        <v>0</v>
      </c>
      <c r="G6">
        <f>ATP_fill!AR9</f>
        <v>0</v>
      </c>
      <c r="H6" t="str">
        <f>ATP_fill!AS9</f>
        <v>1</v>
      </c>
      <c r="I6" t="str">
        <f>ATP_fill!AT9</f>
        <v>1</v>
      </c>
      <c r="J6" t="str">
        <f>ATP_fill!AU9</f>
        <v>1</v>
      </c>
      <c r="K6">
        <f>ATP_fill!AV9</f>
        <v>0</v>
      </c>
      <c r="L6" t="str">
        <f>ATP_fill!AW9</f>
        <v>1</v>
      </c>
      <c r="M6">
        <f>ATP_fill!AX9</f>
        <v>0</v>
      </c>
      <c r="N6" s="1">
        <f>ATP_fill!BB9</f>
        <v>0</v>
      </c>
      <c r="O6" s="1">
        <f>ATP_fill!BC9</f>
        <v>0</v>
      </c>
      <c r="P6" s="1">
        <f>ATP_fill!BD9</f>
        <v>0</v>
      </c>
      <c r="Q6" s="1">
        <f>ATP_fill!BE9</f>
        <v>0</v>
      </c>
      <c r="R6" s="1">
        <f>ATP_fill!BF9</f>
        <v>0</v>
      </c>
      <c r="S6" s="1">
        <f>ATP_fill!BG9</f>
        <v>0</v>
      </c>
      <c r="T6" s="1">
        <f>ATP_fill!BH9</f>
        <v>0</v>
      </c>
      <c r="U6" s="1">
        <f>ATP_fill!BI9</f>
        <v>0</v>
      </c>
      <c r="V6">
        <f>ATP_fill!T9</f>
        <v>150</v>
      </c>
      <c r="W6">
        <f>ATP_fill!W9</f>
        <v>0</v>
      </c>
      <c r="X6">
        <f>ATP_fill!Z9</f>
        <v>250</v>
      </c>
      <c r="Y6">
        <f>ATP_fill!AC9</f>
        <v>150</v>
      </c>
      <c r="Z6">
        <f>ATP_fill!AF9</f>
        <v>0</v>
      </c>
      <c r="AA6">
        <f>ATP_fill!AI9</f>
        <v>0</v>
      </c>
      <c r="AB6">
        <f>ATP_fill!AL9</f>
        <v>0</v>
      </c>
      <c r="AC6">
        <f>ATP_fill!AO9</f>
        <v>0</v>
      </c>
    </row>
    <row r="7" spans="1:29" x14ac:dyDescent="0.35">
      <c r="A7" s="4">
        <f>IF(ATP_fill!C10=0,"",ATP_fill!C10)</f>
        <v>46062</v>
      </c>
      <c r="B7" t="str">
        <f>ATP_fill!I10</f>
        <v>Base 3</v>
      </c>
      <c r="C7" t="str">
        <f>ATP_fill!E10</f>
        <v>-</v>
      </c>
      <c r="D7" t="str">
        <f>ATP_fill!F10</f>
        <v>-</v>
      </c>
      <c r="E7" s="2" t="str">
        <f>ATP_fill!G10</f>
        <v>-</v>
      </c>
      <c r="F7" s="12" t="str">
        <f>ATP_fill!AZ10</f>
        <v>AeT</v>
      </c>
      <c r="G7">
        <f>ATP_fill!AR10</f>
        <v>0</v>
      </c>
      <c r="H7" t="str">
        <f>ATP_fill!AS10</f>
        <v>1</v>
      </c>
      <c r="I7" t="str">
        <f>ATP_fill!AT10</f>
        <v>1</v>
      </c>
      <c r="J7" t="str">
        <f>ATP_fill!AU10</f>
        <v>1</v>
      </c>
      <c r="K7">
        <f>ATP_fill!AV10</f>
        <v>0</v>
      </c>
      <c r="L7" t="str">
        <f>ATP_fill!AW10</f>
        <v>1</v>
      </c>
      <c r="M7">
        <f>ATP_fill!AX10</f>
        <v>0</v>
      </c>
      <c r="N7" s="1">
        <f>ATP_fill!BB10</f>
        <v>0</v>
      </c>
      <c r="O7" s="1">
        <f>ATP_fill!BC10</f>
        <v>0</v>
      </c>
      <c r="P7" s="1">
        <f>ATP_fill!BD10</f>
        <v>0</v>
      </c>
      <c r="Q7" s="1">
        <f>ATP_fill!BE10</f>
        <v>0</v>
      </c>
      <c r="R7" s="1">
        <f>ATP_fill!BF10</f>
        <v>0</v>
      </c>
      <c r="S7" s="1">
        <f>ATP_fill!BG10</f>
        <v>0</v>
      </c>
      <c r="T7" s="1">
        <f>ATP_fill!BH10</f>
        <v>0</v>
      </c>
      <c r="U7" s="1">
        <f>ATP_fill!BI10</f>
        <v>0</v>
      </c>
      <c r="V7">
        <f>ATP_fill!T10</f>
        <v>170</v>
      </c>
      <c r="W7">
        <f>ATP_fill!W10</f>
        <v>0</v>
      </c>
      <c r="X7">
        <f>ATP_fill!Z10</f>
        <v>300</v>
      </c>
      <c r="Y7">
        <f>ATP_fill!AC10</f>
        <v>150</v>
      </c>
      <c r="Z7">
        <f>ATP_fill!AF10</f>
        <v>0</v>
      </c>
      <c r="AA7">
        <f>ATP_fill!AI10</f>
        <v>0</v>
      </c>
      <c r="AB7">
        <f>ATP_fill!AL10</f>
        <v>0</v>
      </c>
      <c r="AC7">
        <f>ATP_fill!AO10</f>
        <v>0</v>
      </c>
    </row>
    <row r="8" spans="1:29" x14ac:dyDescent="0.35">
      <c r="A8" s="4">
        <f>IF(ATP_fill!C11=0,"",ATP_fill!C11)</f>
        <v>46069</v>
      </c>
      <c r="B8" t="str">
        <f>ATP_fill!I11</f>
        <v>Base 3</v>
      </c>
      <c r="C8" t="str">
        <f>ATP_fill!E11</f>
        <v>-</v>
      </c>
      <c r="D8" t="str">
        <f>ATP_fill!F11</f>
        <v>-</v>
      </c>
      <c r="E8" s="2" t="str">
        <f>ATP_fill!G11</f>
        <v>-</v>
      </c>
      <c r="F8" s="12" t="str">
        <f>ATP_fill!AZ11</f>
        <v xml:space="preserve">FTP </v>
      </c>
      <c r="G8">
        <f>ATP_fill!AR11</f>
        <v>0</v>
      </c>
      <c r="H8" t="str">
        <f>ATP_fill!AS11</f>
        <v>1</v>
      </c>
      <c r="I8" t="str">
        <f>ATP_fill!AT11</f>
        <v>1</v>
      </c>
      <c r="J8" t="str">
        <f>ATP_fill!AU11</f>
        <v>1</v>
      </c>
      <c r="K8">
        <f>ATP_fill!AV11</f>
        <v>0</v>
      </c>
      <c r="L8" t="str">
        <f>ATP_fill!AW11</f>
        <v>1</v>
      </c>
      <c r="M8">
        <f>ATP_fill!AX11</f>
        <v>0</v>
      </c>
      <c r="N8" s="1">
        <f>ATP_fill!BB11</f>
        <v>0</v>
      </c>
      <c r="O8" s="1">
        <f>ATP_fill!BC11</f>
        <v>0</v>
      </c>
      <c r="P8" s="1">
        <f>ATP_fill!BD11</f>
        <v>0</v>
      </c>
      <c r="Q8" s="1">
        <f>ATP_fill!BE11</f>
        <v>0</v>
      </c>
      <c r="R8" s="1">
        <f>ATP_fill!BF11</f>
        <v>0</v>
      </c>
      <c r="S8" s="1">
        <f>ATP_fill!BG11</f>
        <v>0</v>
      </c>
      <c r="T8" s="1">
        <f>ATP_fill!BH11</f>
        <v>0</v>
      </c>
      <c r="U8" s="1">
        <f>ATP_fill!BI11</f>
        <v>0</v>
      </c>
      <c r="V8">
        <f>ATP_fill!T11</f>
        <v>200</v>
      </c>
      <c r="W8">
        <f>ATP_fill!W11</f>
        <v>0</v>
      </c>
      <c r="X8">
        <f>ATP_fill!Z11</f>
        <v>300</v>
      </c>
      <c r="Y8">
        <f>ATP_fill!AC11</f>
        <v>180</v>
      </c>
      <c r="Z8">
        <f>ATP_fill!AF11</f>
        <v>0</v>
      </c>
      <c r="AA8">
        <f>ATP_fill!AI11</f>
        <v>0</v>
      </c>
      <c r="AB8">
        <f>ATP_fill!AL11</f>
        <v>0</v>
      </c>
      <c r="AC8">
        <f>ATP_fill!AO11</f>
        <v>0</v>
      </c>
    </row>
    <row r="9" spans="1:29" x14ac:dyDescent="0.35">
      <c r="A9" s="4">
        <f>IF(ATP_fill!C12=0,"",ATP_fill!C12)</f>
        <v>46076</v>
      </c>
      <c r="B9" t="str">
        <f>ATP_fill!I12</f>
        <v>Base 3</v>
      </c>
      <c r="C9" t="str">
        <f>ATP_fill!E12</f>
        <v>-</v>
      </c>
      <c r="D9" t="str">
        <f>ATP_fill!F12</f>
        <v>-</v>
      </c>
      <c r="E9" s="2" t="str">
        <f>ATP_fill!G12</f>
        <v>-</v>
      </c>
      <c r="F9" s="12">
        <f>ATP_fill!AZ12</f>
        <v>0</v>
      </c>
      <c r="G9">
        <f>ATP_fill!AR12</f>
        <v>0</v>
      </c>
      <c r="H9" t="str">
        <f>ATP_fill!AS12</f>
        <v>1</v>
      </c>
      <c r="I9">
        <f>ATP_fill!AT12</f>
        <v>0</v>
      </c>
      <c r="J9" t="str">
        <f>ATP_fill!AU12</f>
        <v>1</v>
      </c>
      <c r="K9">
        <f>ATP_fill!AV12</f>
        <v>0</v>
      </c>
      <c r="L9">
        <f>ATP_fill!AW12</f>
        <v>0</v>
      </c>
      <c r="M9">
        <f>ATP_fill!AX12</f>
        <v>0</v>
      </c>
      <c r="N9" s="1">
        <f>ATP_fill!BB12</f>
        <v>0</v>
      </c>
      <c r="O9" s="1">
        <f>ATP_fill!BC12</f>
        <v>0</v>
      </c>
      <c r="P9" s="1">
        <f>ATP_fill!BD12</f>
        <v>0</v>
      </c>
      <c r="Q9" s="1">
        <f>ATP_fill!BE12</f>
        <v>0</v>
      </c>
      <c r="R9" s="1">
        <f>ATP_fill!BF12</f>
        <v>0</v>
      </c>
      <c r="S9" s="1">
        <f>ATP_fill!BG12</f>
        <v>0</v>
      </c>
      <c r="T9" s="1">
        <f>ATP_fill!BH12</f>
        <v>0</v>
      </c>
      <c r="U9" s="1">
        <f>ATP_fill!BI12</f>
        <v>0</v>
      </c>
      <c r="V9">
        <f>ATP_fill!T12</f>
        <v>100</v>
      </c>
      <c r="W9">
        <f>ATP_fill!W12</f>
        <v>0</v>
      </c>
      <c r="X9">
        <f>ATP_fill!Z12</f>
        <v>150</v>
      </c>
      <c r="Y9">
        <f>ATP_fill!AC12</f>
        <v>150</v>
      </c>
      <c r="Z9">
        <f>ATP_fill!AF12</f>
        <v>0</v>
      </c>
      <c r="AA9">
        <f>ATP_fill!AI12</f>
        <v>0</v>
      </c>
      <c r="AB9">
        <f>ATP_fill!AL12</f>
        <v>0</v>
      </c>
      <c r="AC9">
        <f>ATP_fill!AO12</f>
        <v>0</v>
      </c>
    </row>
    <row r="10" spans="1:29" x14ac:dyDescent="0.35">
      <c r="A10" s="4">
        <f>IF(ATP_fill!C13=0,"",ATP_fill!C13)</f>
        <v>46083</v>
      </c>
      <c r="B10" t="str">
        <f>ATP_fill!I13</f>
        <v>Build 1</v>
      </c>
      <c r="C10" t="str">
        <f>ATP_fill!E13</f>
        <v>-</v>
      </c>
      <c r="D10" t="str">
        <f>ATP_fill!F13</f>
        <v>-</v>
      </c>
      <c r="E10" s="2" t="str">
        <f>ATP_fill!G13</f>
        <v>-</v>
      </c>
      <c r="F10" s="12">
        <f>ATP_fill!AZ13</f>
        <v>0</v>
      </c>
      <c r="G10">
        <f>ATP_fill!AR13</f>
        <v>0</v>
      </c>
      <c r="H10" t="str">
        <f>ATP_fill!AS13</f>
        <v>1</v>
      </c>
      <c r="I10" t="str">
        <f>ATP_fill!AT13</f>
        <v>1</v>
      </c>
      <c r="J10" t="str">
        <f>ATP_fill!AU13</f>
        <v>1</v>
      </c>
      <c r="K10" t="str">
        <f>ATP_fill!AV13</f>
        <v>1</v>
      </c>
      <c r="L10" t="str">
        <f>ATP_fill!AW13</f>
        <v>1</v>
      </c>
      <c r="M10">
        <f>ATP_fill!AX13</f>
        <v>0</v>
      </c>
      <c r="N10" s="1">
        <f>ATP_fill!BB13</f>
        <v>0</v>
      </c>
      <c r="O10" s="1">
        <f>ATP_fill!BC13</f>
        <v>0</v>
      </c>
      <c r="P10" s="1">
        <f>ATP_fill!BD13</f>
        <v>0</v>
      </c>
      <c r="Q10" s="1">
        <f>ATP_fill!BE13</f>
        <v>0</v>
      </c>
      <c r="R10" s="1">
        <f>ATP_fill!BF13</f>
        <v>0</v>
      </c>
      <c r="S10" s="1">
        <f>ATP_fill!BG13</f>
        <v>0</v>
      </c>
      <c r="T10" s="1">
        <f>ATP_fill!BH13</f>
        <v>0</v>
      </c>
      <c r="U10" s="1">
        <f>ATP_fill!BI13</f>
        <v>0</v>
      </c>
      <c r="V10">
        <f>ATP_fill!T13</f>
        <v>200</v>
      </c>
      <c r="W10">
        <f>ATP_fill!W13</f>
        <v>0</v>
      </c>
      <c r="X10">
        <f>ATP_fill!Z13</f>
        <v>220</v>
      </c>
      <c r="Y10">
        <f>ATP_fill!AC13</f>
        <v>150</v>
      </c>
      <c r="Z10">
        <f>ATP_fill!AF13</f>
        <v>30</v>
      </c>
      <c r="AA10">
        <f>ATP_fill!AI13</f>
        <v>0</v>
      </c>
      <c r="AB10">
        <f>ATP_fill!AL13</f>
        <v>0</v>
      </c>
      <c r="AC10">
        <f>ATP_fill!AO13</f>
        <v>0</v>
      </c>
    </row>
    <row r="11" spans="1:29" x14ac:dyDescent="0.35">
      <c r="A11" s="4">
        <f>IF(ATP_fill!C14=0,"",ATP_fill!C14)</f>
        <v>46090</v>
      </c>
      <c r="B11" t="str">
        <f>ATP_fill!I14</f>
        <v>Build 1</v>
      </c>
      <c r="C11" t="str">
        <f>ATP_fill!E14</f>
        <v>-</v>
      </c>
      <c r="D11" t="str">
        <f>ATP_fill!F14</f>
        <v>-</v>
      </c>
      <c r="E11" s="2" t="str">
        <f>ATP_fill!G14</f>
        <v>-</v>
      </c>
      <c r="F11" s="12" t="str">
        <f>ATP_fill!AZ14</f>
        <v xml:space="preserve">FTP </v>
      </c>
      <c r="G11">
        <f>ATP_fill!AR14</f>
        <v>0</v>
      </c>
      <c r="H11" t="str">
        <f>ATP_fill!AS14</f>
        <v>1</v>
      </c>
      <c r="I11" t="str">
        <f>ATP_fill!AT14</f>
        <v>1</v>
      </c>
      <c r="J11" t="str">
        <f>ATP_fill!AU14</f>
        <v>1</v>
      </c>
      <c r="K11" t="str">
        <f>ATP_fill!AV14</f>
        <v>1</v>
      </c>
      <c r="L11" t="e">
        <f>ATP_fill!#REF!</f>
        <v>#REF!</v>
      </c>
      <c r="M11">
        <f>ATP_fill!AX14</f>
        <v>0</v>
      </c>
      <c r="N11" s="1">
        <f>ATP_fill!BB14</f>
        <v>0</v>
      </c>
      <c r="O11" s="1">
        <f>ATP_fill!BC14</f>
        <v>0</v>
      </c>
      <c r="P11" s="1">
        <f>ATP_fill!BD14</f>
        <v>0</v>
      </c>
      <c r="Q11" s="1">
        <f>ATP_fill!BE14</f>
        <v>0</v>
      </c>
      <c r="R11" s="1">
        <f>ATP_fill!BF14</f>
        <v>0</v>
      </c>
      <c r="S11" s="1">
        <f>ATP_fill!BG14</f>
        <v>0</v>
      </c>
      <c r="T11" s="1">
        <f>ATP_fill!BH14</f>
        <v>0</v>
      </c>
      <c r="U11" s="1">
        <f>ATP_fill!BI14</f>
        <v>0</v>
      </c>
      <c r="V11">
        <f>ATP_fill!T14</f>
        <v>200</v>
      </c>
      <c r="W11">
        <f>ATP_fill!W14</f>
        <v>0</v>
      </c>
      <c r="X11">
        <f>ATP_fill!Z14</f>
        <v>220</v>
      </c>
      <c r="Y11">
        <f>ATP_fill!AC14</f>
        <v>150</v>
      </c>
      <c r="Z11">
        <f>ATP_fill!AF14</f>
        <v>50</v>
      </c>
      <c r="AA11">
        <f>ATP_fill!AI14</f>
        <v>0</v>
      </c>
      <c r="AB11">
        <f>ATP_fill!AL14</f>
        <v>0</v>
      </c>
      <c r="AC11">
        <f>ATP_fill!AO14</f>
        <v>0</v>
      </c>
    </row>
    <row r="12" spans="1:29" x14ac:dyDescent="0.35">
      <c r="A12" s="4">
        <f>IF(ATP_fill!C15=0,"",ATP_fill!C15)</f>
        <v>46097</v>
      </c>
      <c r="B12" t="str">
        <f>ATP_fill!I15</f>
        <v>Build 1</v>
      </c>
      <c r="C12" t="str">
        <f>ATP_fill!E15</f>
        <v>-</v>
      </c>
      <c r="D12" t="str">
        <f>ATP_fill!F15</f>
        <v>-</v>
      </c>
      <c r="E12" s="2" t="str">
        <f>ATP_fill!G15</f>
        <v>-</v>
      </c>
      <c r="F12" s="12" t="str">
        <f>ATP_fill!AZ15</f>
        <v>AeT</v>
      </c>
      <c r="G12">
        <f>ATP_fill!AR15</f>
        <v>0</v>
      </c>
      <c r="H12" t="str">
        <f>ATP_fill!AS15</f>
        <v>1</v>
      </c>
      <c r="I12" t="str">
        <f>ATP_fill!AT15</f>
        <v>1</v>
      </c>
      <c r="J12" t="str">
        <f>ATP_fill!AU15</f>
        <v>1</v>
      </c>
      <c r="K12" t="str">
        <f>ATP_fill!AV15</f>
        <v>1</v>
      </c>
      <c r="L12" t="str">
        <f>ATP_fill!AW14</f>
        <v>1</v>
      </c>
      <c r="M12">
        <f>ATP_fill!AX15</f>
        <v>0</v>
      </c>
      <c r="N12" s="1">
        <f>ATP_fill!BB15</f>
        <v>0</v>
      </c>
      <c r="O12" s="1">
        <f>ATP_fill!BC15</f>
        <v>0</v>
      </c>
      <c r="P12" s="1">
        <f>ATP_fill!BD15</f>
        <v>0</v>
      </c>
      <c r="Q12" s="1">
        <f>ATP_fill!BE15</f>
        <v>0</v>
      </c>
      <c r="R12" s="1">
        <f>ATP_fill!BF15</f>
        <v>0</v>
      </c>
      <c r="S12" s="1">
        <f>ATP_fill!BG15</f>
        <v>0</v>
      </c>
      <c r="T12" s="1">
        <f>ATP_fill!BH15</f>
        <v>0</v>
      </c>
      <c r="U12" s="1">
        <f>ATP_fill!BI15</f>
        <v>0</v>
      </c>
      <c r="V12">
        <f>ATP_fill!T15</f>
        <v>200</v>
      </c>
      <c r="W12">
        <f>ATP_fill!W15</f>
        <v>0</v>
      </c>
      <c r="X12">
        <f>ATP_fill!Z15</f>
        <v>220</v>
      </c>
      <c r="Y12">
        <f>ATP_fill!AC15</f>
        <v>150</v>
      </c>
      <c r="Z12">
        <f>ATP_fill!AF15</f>
        <v>50</v>
      </c>
      <c r="AA12">
        <f>ATP_fill!AI15</f>
        <v>0</v>
      </c>
      <c r="AB12">
        <f>ATP_fill!AL15</f>
        <v>0</v>
      </c>
      <c r="AC12">
        <f>ATP_fill!AO15</f>
        <v>0</v>
      </c>
    </row>
    <row r="13" spans="1:29" x14ac:dyDescent="0.35">
      <c r="A13" s="4">
        <f>IF(ATP_fill!C16=0,"",ATP_fill!C16)</f>
        <v>46104</v>
      </c>
      <c r="B13" t="str">
        <f>ATP_fill!I16</f>
        <v>Build 1</v>
      </c>
      <c r="C13" t="str">
        <f>ATP_fill!E16</f>
        <v>-</v>
      </c>
      <c r="D13" t="str">
        <f>ATP_fill!F16</f>
        <v>-</v>
      </c>
      <c r="E13" s="2" t="str">
        <f>ATP_fill!G16</f>
        <v>-</v>
      </c>
      <c r="F13" s="12">
        <f>ATP_fill!AZ16</f>
        <v>0</v>
      </c>
      <c r="G13">
        <f>ATP_fill!AR16</f>
        <v>0</v>
      </c>
      <c r="H13" t="str">
        <f>ATP_fill!AS16</f>
        <v>1</v>
      </c>
      <c r="I13">
        <f>ATP_fill!AT16</f>
        <v>0</v>
      </c>
      <c r="J13" t="str">
        <f>ATP_fill!AU16</f>
        <v>1</v>
      </c>
      <c r="K13">
        <f>ATP_fill!AV16</f>
        <v>0</v>
      </c>
      <c r="L13">
        <f>ATP_fill!AW16</f>
        <v>0</v>
      </c>
      <c r="M13">
        <f>ATP_fill!AX16</f>
        <v>0</v>
      </c>
      <c r="N13" s="1">
        <f>ATP_fill!BB16</f>
        <v>0</v>
      </c>
      <c r="O13" s="1">
        <f>ATP_fill!BC16</f>
        <v>0</v>
      </c>
      <c r="P13" s="1">
        <f>ATP_fill!BD16</f>
        <v>0</v>
      </c>
      <c r="Q13" s="1">
        <f>ATP_fill!BE16</f>
        <v>0</v>
      </c>
      <c r="R13" s="1">
        <f>ATP_fill!BF16</f>
        <v>0</v>
      </c>
      <c r="S13" s="1">
        <f>ATP_fill!BG16</f>
        <v>0</v>
      </c>
      <c r="T13" s="1">
        <f>ATP_fill!BH16</f>
        <v>0</v>
      </c>
      <c r="U13" s="1">
        <f>ATP_fill!BI16</f>
        <v>0</v>
      </c>
      <c r="V13">
        <f>ATP_fill!T16</f>
        <v>120</v>
      </c>
      <c r="W13">
        <f>ATP_fill!W16</f>
        <v>0</v>
      </c>
      <c r="X13">
        <f>ATP_fill!Z16</f>
        <v>100</v>
      </c>
      <c r="Y13">
        <f>ATP_fill!AC16</f>
        <v>150</v>
      </c>
      <c r="Z13">
        <f>ATP_fill!AF16</f>
        <v>30</v>
      </c>
      <c r="AA13">
        <f>ATP_fill!AI16</f>
        <v>0</v>
      </c>
      <c r="AB13">
        <f>ATP_fill!AL16</f>
        <v>0</v>
      </c>
      <c r="AC13">
        <f>ATP_fill!AO16</f>
        <v>0</v>
      </c>
    </row>
    <row r="14" spans="1:29" x14ac:dyDescent="0.35">
      <c r="A14" s="4">
        <f>IF(ATP_fill!C17=0,"",ATP_fill!C17)</f>
        <v>46111</v>
      </c>
      <c r="B14" t="str">
        <f>ATP_fill!I17</f>
        <v>Build 2</v>
      </c>
      <c r="C14" t="str">
        <f>ATP_fill!E17</f>
        <v>-</v>
      </c>
      <c r="D14" t="str">
        <f>ATP_fill!F17</f>
        <v>-</v>
      </c>
      <c r="E14" s="2" t="str">
        <f>ATP_fill!G17</f>
        <v>-</v>
      </c>
      <c r="F14" s="12">
        <f>ATP_fill!AZ17</f>
        <v>0</v>
      </c>
      <c r="G14">
        <f>ATP_fill!AR17</f>
        <v>0</v>
      </c>
      <c r="H14" t="str">
        <f>ATP_fill!AS17</f>
        <v>1</v>
      </c>
      <c r="I14" t="str">
        <f>ATP_fill!AT17</f>
        <v>1</v>
      </c>
      <c r="J14" t="str">
        <f>ATP_fill!AU17</f>
        <v>1</v>
      </c>
      <c r="K14" t="str">
        <f>ATP_fill!AV17</f>
        <v>1</v>
      </c>
      <c r="L14" t="str">
        <f>ATP_fill!AW17</f>
        <v>1</v>
      </c>
      <c r="M14">
        <f>ATP_fill!AX17</f>
        <v>0</v>
      </c>
      <c r="N14" s="1">
        <f>ATP_fill!BB17</f>
        <v>0</v>
      </c>
      <c r="O14" s="1">
        <f>ATP_fill!BC17</f>
        <v>0</v>
      </c>
      <c r="P14" s="1">
        <f>ATP_fill!BD17</f>
        <v>0</v>
      </c>
      <c r="Q14" s="1">
        <f>ATP_fill!BE17</f>
        <v>0</v>
      </c>
      <c r="R14" s="1">
        <f>ATP_fill!BF17</f>
        <v>0</v>
      </c>
      <c r="S14" s="1">
        <f>ATP_fill!BG17</f>
        <v>0</v>
      </c>
      <c r="T14" s="1">
        <f>ATP_fill!BH17</f>
        <v>0</v>
      </c>
      <c r="U14" s="1">
        <f>ATP_fill!BI17</f>
        <v>0</v>
      </c>
      <c r="V14">
        <f>ATP_fill!T17</f>
        <v>230</v>
      </c>
      <c r="W14">
        <f>ATP_fill!W17</f>
        <v>0</v>
      </c>
      <c r="X14">
        <f>ATP_fill!Z17</f>
        <v>250</v>
      </c>
      <c r="Y14">
        <f>ATP_fill!AC17</f>
        <v>150</v>
      </c>
      <c r="Z14">
        <f>ATP_fill!AF17</f>
        <v>50</v>
      </c>
      <c r="AA14">
        <f>ATP_fill!AI17</f>
        <v>0</v>
      </c>
      <c r="AB14">
        <f>ATP_fill!AL17</f>
        <v>0</v>
      </c>
      <c r="AC14">
        <f>ATP_fill!AO17</f>
        <v>0</v>
      </c>
    </row>
    <row r="15" spans="1:29" x14ac:dyDescent="0.35">
      <c r="A15" s="4">
        <f>IF(ATP_fill!C18=0,"",ATP_fill!C18)</f>
        <v>46118</v>
      </c>
      <c r="B15" t="str">
        <f>ATP_fill!I18</f>
        <v>Build 2</v>
      </c>
      <c r="C15" t="str">
        <f>ATP_fill!E18</f>
        <v>-</v>
      </c>
      <c r="D15" t="str">
        <f>ATP_fill!F18</f>
        <v>-</v>
      </c>
      <c r="E15" s="2" t="str">
        <f>ATP_fill!G18</f>
        <v>-</v>
      </c>
      <c r="F15" s="12" t="str">
        <f>ATP_fill!AZ18</f>
        <v xml:space="preserve">FTP </v>
      </c>
      <c r="G15">
        <f>ATP_fill!AR18</f>
        <v>0</v>
      </c>
      <c r="H15" t="str">
        <f>ATP_fill!AS18</f>
        <v>1</v>
      </c>
      <c r="I15" t="str">
        <f>ATP_fill!AT18</f>
        <v>1</v>
      </c>
      <c r="J15" t="str">
        <f>ATP_fill!AU18</f>
        <v>1</v>
      </c>
      <c r="K15" t="str">
        <f>ATP_fill!AV18</f>
        <v>1</v>
      </c>
      <c r="L15" t="str">
        <f>ATP_fill!AW18</f>
        <v>1</v>
      </c>
      <c r="M15">
        <f>ATP_fill!AX18</f>
        <v>0</v>
      </c>
      <c r="N15" s="1">
        <f>ATP_fill!BB18</f>
        <v>0</v>
      </c>
      <c r="O15" s="1">
        <f>ATP_fill!BC18</f>
        <v>0</v>
      </c>
      <c r="P15" s="1">
        <f>ATP_fill!BD18</f>
        <v>0</v>
      </c>
      <c r="Q15" s="1">
        <f>ATP_fill!BE18</f>
        <v>0</v>
      </c>
      <c r="R15" s="1">
        <f>ATP_fill!BF18</f>
        <v>0</v>
      </c>
      <c r="S15" s="1">
        <f>ATP_fill!BG18</f>
        <v>0</v>
      </c>
      <c r="T15" s="1">
        <f>ATP_fill!BH18</f>
        <v>0</v>
      </c>
      <c r="U15" s="1">
        <f>ATP_fill!BI18</f>
        <v>0</v>
      </c>
      <c r="V15">
        <f>ATP_fill!T18</f>
        <v>230</v>
      </c>
      <c r="W15">
        <f>ATP_fill!W18</f>
        <v>0</v>
      </c>
      <c r="X15">
        <f>ATP_fill!Z18</f>
        <v>250</v>
      </c>
      <c r="Y15">
        <f>ATP_fill!AC18</f>
        <v>150</v>
      </c>
      <c r="Z15">
        <f>ATP_fill!AF18</f>
        <v>50</v>
      </c>
      <c r="AA15">
        <f>ATP_fill!AI18</f>
        <v>0</v>
      </c>
      <c r="AB15">
        <f>ATP_fill!AL18</f>
        <v>0</v>
      </c>
      <c r="AC15">
        <f>ATP_fill!AO18</f>
        <v>0</v>
      </c>
    </row>
    <row r="16" spans="1:29" x14ac:dyDescent="0.35">
      <c r="A16" s="4">
        <f>IF(ATP_fill!C19=0,"",ATP_fill!C19)</f>
        <v>46125</v>
      </c>
      <c r="B16" t="str">
        <f>ATP_fill!I19</f>
        <v>Build 2</v>
      </c>
      <c r="C16" t="str">
        <f>ATP_fill!E19</f>
        <v>-</v>
      </c>
      <c r="D16" t="str">
        <f>ATP_fill!F19</f>
        <v>-</v>
      </c>
      <c r="E16" s="2" t="str">
        <f>ATP_fill!G19</f>
        <v>-</v>
      </c>
      <c r="F16" s="12" t="str">
        <f>ATP_fill!AZ19</f>
        <v>AeT</v>
      </c>
      <c r="G16">
        <f>ATP_fill!AR19</f>
        <v>0</v>
      </c>
      <c r="H16" t="str">
        <f>ATP_fill!AS19</f>
        <v>1</v>
      </c>
      <c r="I16" t="str">
        <f>ATP_fill!AT19</f>
        <v>1</v>
      </c>
      <c r="J16" t="str">
        <f>ATP_fill!AU19</f>
        <v>1</v>
      </c>
      <c r="K16" t="str">
        <f>ATP_fill!AV19</f>
        <v>1</v>
      </c>
      <c r="L16" t="str">
        <f>ATP_fill!AW19</f>
        <v>1</v>
      </c>
      <c r="M16">
        <f>ATP_fill!AX19</f>
        <v>0</v>
      </c>
      <c r="N16" s="1">
        <f>ATP_fill!BB19</f>
        <v>0</v>
      </c>
      <c r="O16" s="1">
        <f>ATP_fill!BC19</f>
        <v>0</v>
      </c>
      <c r="P16" s="1">
        <f>ATP_fill!BD19</f>
        <v>0</v>
      </c>
      <c r="Q16" s="1">
        <f>ATP_fill!BE19</f>
        <v>0</v>
      </c>
      <c r="R16" s="1">
        <f>ATP_fill!BF19</f>
        <v>0</v>
      </c>
      <c r="S16" s="1">
        <f>ATP_fill!BG19</f>
        <v>0</v>
      </c>
      <c r="T16" s="1">
        <f>ATP_fill!BH19</f>
        <v>0</v>
      </c>
      <c r="U16" s="1">
        <f>ATP_fill!BI19</f>
        <v>0</v>
      </c>
      <c r="V16">
        <f>ATP_fill!T19</f>
        <v>230</v>
      </c>
      <c r="W16">
        <f>ATP_fill!W19</f>
        <v>0</v>
      </c>
      <c r="X16">
        <f>ATP_fill!Z19</f>
        <v>250</v>
      </c>
      <c r="Y16">
        <f>ATP_fill!AC19</f>
        <v>150</v>
      </c>
      <c r="Z16">
        <f>ATP_fill!AF19</f>
        <v>50</v>
      </c>
      <c r="AA16">
        <f>ATP_fill!AI19</f>
        <v>0</v>
      </c>
      <c r="AB16">
        <f>ATP_fill!AL19</f>
        <v>0</v>
      </c>
      <c r="AC16">
        <f>ATP_fill!AO19</f>
        <v>0</v>
      </c>
    </row>
    <row r="17" spans="1:29" x14ac:dyDescent="0.35">
      <c r="A17" s="4">
        <f>IF(ATP_fill!C20=0,"",ATP_fill!C20)</f>
        <v>46132</v>
      </c>
      <c r="B17" t="str">
        <f>ATP_fill!I20</f>
        <v>Build 2</v>
      </c>
      <c r="C17" t="str">
        <f>ATP_fill!E20</f>
        <v>-</v>
      </c>
      <c r="D17" t="str">
        <f>ATP_fill!F20</f>
        <v>-</v>
      </c>
      <c r="E17" s="2" t="str">
        <f>ATP_fill!G20</f>
        <v>-</v>
      </c>
      <c r="F17" s="12">
        <f>ATP_fill!AZ20</f>
        <v>0</v>
      </c>
      <c r="G17">
        <f>ATP_fill!AR20</f>
        <v>0</v>
      </c>
      <c r="H17" t="str">
        <f>ATP_fill!AS20</f>
        <v>1</v>
      </c>
      <c r="I17">
        <f>ATP_fill!AT20</f>
        <v>0</v>
      </c>
      <c r="J17" t="str">
        <f>ATP_fill!AU20</f>
        <v>1</v>
      </c>
      <c r="K17">
        <f>ATP_fill!AV20</f>
        <v>0</v>
      </c>
      <c r="L17">
        <f>ATP_fill!AW20</f>
        <v>0</v>
      </c>
      <c r="M17">
        <f>ATP_fill!AX20</f>
        <v>0</v>
      </c>
      <c r="N17" s="1">
        <f>ATP_fill!BB20</f>
        <v>0</v>
      </c>
      <c r="O17" s="1">
        <f>ATP_fill!BC20</f>
        <v>0</v>
      </c>
      <c r="P17" s="1">
        <f>ATP_fill!BD20</f>
        <v>0</v>
      </c>
      <c r="Q17" s="1">
        <f>ATP_fill!BE20</f>
        <v>0</v>
      </c>
      <c r="R17" s="1">
        <f>ATP_fill!BF20</f>
        <v>0</v>
      </c>
      <c r="S17" s="1">
        <f>ATP_fill!BG20</f>
        <v>0</v>
      </c>
      <c r="T17" s="1">
        <f>ATP_fill!BH20</f>
        <v>0</v>
      </c>
      <c r="U17" s="1">
        <f>ATP_fill!BI20</f>
        <v>0</v>
      </c>
      <c r="V17">
        <f>ATP_fill!T20</f>
        <v>120</v>
      </c>
      <c r="W17">
        <f>ATP_fill!W20</f>
        <v>0</v>
      </c>
      <c r="X17">
        <f>ATP_fill!Z20</f>
        <v>100</v>
      </c>
      <c r="Y17">
        <f>ATP_fill!AC20</f>
        <v>150</v>
      </c>
      <c r="Z17">
        <f>ATP_fill!AF20</f>
        <v>30</v>
      </c>
      <c r="AA17">
        <f>ATP_fill!AI20</f>
        <v>0</v>
      </c>
      <c r="AB17">
        <f>ATP_fill!AL20</f>
        <v>0</v>
      </c>
      <c r="AC17">
        <f>ATP_fill!AO20</f>
        <v>0</v>
      </c>
    </row>
    <row r="18" spans="1:29" x14ac:dyDescent="0.35">
      <c r="A18" s="4">
        <f>IF(ATP_fill!C21=0,"",ATP_fill!C21)</f>
        <v>46139</v>
      </c>
      <c r="B18" t="str">
        <f>ATP_fill!I21</f>
        <v>Peak</v>
      </c>
      <c r="C18" t="str">
        <f>ATP_fill!E21</f>
        <v>-</v>
      </c>
      <c r="D18" t="str">
        <f>ATP_fill!F21</f>
        <v>-</v>
      </c>
      <c r="E18" s="2" t="str">
        <f>ATP_fill!G21</f>
        <v>-</v>
      </c>
      <c r="F18" s="12">
        <f>ATP_fill!AZ21</f>
        <v>0</v>
      </c>
      <c r="G18">
        <f>ATP_fill!AR21</f>
        <v>0</v>
      </c>
      <c r="H18" t="str">
        <f>ATP_fill!AS21</f>
        <v>1</v>
      </c>
      <c r="I18">
        <f>ATP_fill!AT21</f>
        <v>0</v>
      </c>
      <c r="J18">
        <f>ATP_fill!AU21</f>
        <v>0</v>
      </c>
      <c r="K18">
        <f>ATP_fill!AV21</f>
        <v>0</v>
      </c>
      <c r="L18">
        <f>ATP_fill!AW21</f>
        <v>0</v>
      </c>
      <c r="M18">
        <f>ATP_fill!AX21</f>
        <v>0</v>
      </c>
      <c r="N18" s="1">
        <f>ATP_fill!BB21</f>
        <v>0</v>
      </c>
      <c r="O18" s="1">
        <f>ATP_fill!BC21</f>
        <v>0</v>
      </c>
      <c r="P18" s="1">
        <f>ATP_fill!BD21</f>
        <v>0</v>
      </c>
      <c r="Q18" s="1">
        <f>ATP_fill!BE21</f>
        <v>0</v>
      </c>
      <c r="R18" s="1">
        <f>ATP_fill!BF21</f>
        <v>0</v>
      </c>
      <c r="S18" s="1">
        <f>ATP_fill!BG21</f>
        <v>0</v>
      </c>
      <c r="T18" s="1">
        <f>ATP_fill!BH21</f>
        <v>0</v>
      </c>
      <c r="U18" s="1">
        <f>ATP_fill!BI21</f>
        <v>0</v>
      </c>
      <c r="V18">
        <f>ATP_fill!T21</f>
        <v>150</v>
      </c>
      <c r="W18">
        <f>ATP_fill!W21</f>
        <v>0</v>
      </c>
      <c r="X18">
        <f>ATP_fill!Z21</f>
        <v>150</v>
      </c>
      <c r="Y18">
        <f>ATP_fill!AC21</f>
        <v>150</v>
      </c>
      <c r="Z18">
        <f>ATP_fill!AF21</f>
        <v>30</v>
      </c>
      <c r="AA18">
        <f>ATP_fill!AI21</f>
        <v>0</v>
      </c>
      <c r="AB18">
        <f>ATP_fill!AL21</f>
        <v>0</v>
      </c>
      <c r="AC18">
        <f>ATP_fill!AO21</f>
        <v>0</v>
      </c>
    </row>
    <row r="19" spans="1:29" x14ac:dyDescent="0.35">
      <c r="A19" s="4">
        <f>IF(ATP_fill!C22=0,"",ATP_fill!C22)</f>
        <v>46146</v>
      </c>
      <c r="B19" t="str">
        <f>ATP_fill!I22</f>
        <v>Race</v>
      </c>
      <c r="C19" t="str">
        <f>ATP_fill!E22</f>
        <v>Go Triatlon Brouwersdam</v>
      </c>
      <c r="D19" t="str">
        <f>ATP_fill!F22</f>
        <v>A</v>
      </c>
      <c r="E19" s="2">
        <f>ATP_fill!G22</f>
        <v>46151</v>
      </c>
      <c r="F19" s="12">
        <f>ATP_fill!AZ22</f>
        <v>0</v>
      </c>
      <c r="G19">
        <f>ATP_fill!AR22</f>
        <v>0</v>
      </c>
      <c r="H19">
        <f>ATP_fill!AS22</f>
        <v>0</v>
      </c>
      <c r="I19">
        <f>ATP_fill!AT22</f>
        <v>0</v>
      </c>
      <c r="J19">
        <f>ATP_fill!AU22</f>
        <v>0</v>
      </c>
      <c r="K19">
        <f>ATP_fill!AV22</f>
        <v>0</v>
      </c>
      <c r="L19">
        <f>ATP_fill!AW22</f>
        <v>0</v>
      </c>
      <c r="M19">
        <f>ATP_fill!AX22</f>
        <v>0</v>
      </c>
      <c r="N19" s="1">
        <f>ATP_fill!BB22</f>
        <v>0</v>
      </c>
      <c r="O19" s="1">
        <f>ATP_fill!BC22</f>
        <v>0</v>
      </c>
      <c r="P19" s="1">
        <f>ATP_fill!BD22</f>
        <v>0</v>
      </c>
      <c r="Q19" s="1">
        <f>ATP_fill!BE22</f>
        <v>0</v>
      </c>
      <c r="R19" s="1">
        <f>ATP_fill!BF22</f>
        <v>0</v>
      </c>
      <c r="S19" s="1">
        <f>ATP_fill!BG22</f>
        <v>0</v>
      </c>
      <c r="T19" s="1">
        <f>ATP_fill!BH22</f>
        <v>0</v>
      </c>
      <c r="U19" s="1">
        <f>ATP_fill!BI22</f>
        <v>0</v>
      </c>
      <c r="V19">
        <f>ATP_fill!T22</f>
        <v>100</v>
      </c>
      <c r="W19">
        <f>ATP_fill!W22</f>
        <v>0</v>
      </c>
      <c r="X19">
        <f>ATP_fill!Z22</f>
        <v>150</v>
      </c>
      <c r="Y19">
        <f>ATP_fill!AC22</f>
        <v>150</v>
      </c>
      <c r="Z19">
        <f>ATP_fill!AF22</f>
        <v>0</v>
      </c>
      <c r="AA19">
        <f>ATP_fill!AI22</f>
        <v>0</v>
      </c>
      <c r="AB19">
        <f>ATP_fill!AL22</f>
        <v>0</v>
      </c>
      <c r="AC19">
        <f>ATP_fill!AO22</f>
        <v>0</v>
      </c>
    </row>
    <row r="20" spans="1:29" x14ac:dyDescent="0.35">
      <c r="A20" s="4">
        <f>IF(ATP_fill!C23=0,"",ATP_fill!C23)</f>
        <v>46153</v>
      </c>
      <c r="B20" t="str">
        <f>ATP_fill!I23</f>
        <v>Trans</v>
      </c>
      <c r="C20" t="str">
        <f>ATP_fill!E23</f>
        <v>-</v>
      </c>
      <c r="D20" t="str">
        <f>ATP_fill!F23</f>
        <v>-</v>
      </c>
      <c r="E20" s="2" t="str">
        <f>ATP_fill!G23</f>
        <v>-</v>
      </c>
      <c r="F20" s="12">
        <f>ATP_fill!AZ23</f>
        <v>0</v>
      </c>
      <c r="G20">
        <f>ATP_fill!AR23</f>
        <v>0</v>
      </c>
      <c r="H20">
        <f>ATP_fill!AS23</f>
        <v>0</v>
      </c>
      <c r="I20">
        <f>ATP_fill!AT23</f>
        <v>0</v>
      </c>
      <c r="J20">
        <f>ATP_fill!AU23</f>
        <v>0</v>
      </c>
      <c r="K20">
        <f>ATP_fill!AV23</f>
        <v>0</v>
      </c>
      <c r="L20">
        <f>ATP_fill!AW23</f>
        <v>0</v>
      </c>
      <c r="M20">
        <f>ATP_fill!AX23</f>
        <v>0</v>
      </c>
      <c r="N20" s="1">
        <f>ATP_fill!BB23</f>
        <v>0</v>
      </c>
      <c r="O20" s="1">
        <f>ATP_fill!BC23</f>
        <v>0</v>
      </c>
      <c r="P20" s="1">
        <f>ATP_fill!BD23</f>
        <v>0</v>
      </c>
      <c r="Q20" s="1">
        <f>ATP_fill!BE23</f>
        <v>0</v>
      </c>
      <c r="R20" s="1">
        <f>ATP_fill!BF23</f>
        <v>0</v>
      </c>
      <c r="S20" s="1">
        <f>ATP_fill!BG23</f>
        <v>0</v>
      </c>
      <c r="T20" s="1">
        <f>ATP_fill!BH23</f>
        <v>0</v>
      </c>
      <c r="U20" s="1">
        <f>ATP_fill!BI23</f>
        <v>0</v>
      </c>
      <c r="V20">
        <f>ATP_fill!T23</f>
        <v>0</v>
      </c>
      <c r="W20">
        <f>ATP_fill!W23</f>
        <v>0</v>
      </c>
      <c r="X20">
        <f>ATP_fill!Z23</f>
        <v>0</v>
      </c>
      <c r="Y20">
        <f>ATP_fill!AC23</f>
        <v>0</v>
      </c>
      <c r="Z20">
        <f>ATP_fill!AF23</f>
        <v>0</v>
      </c>
      <c r="AA20">
        <f>ATP_fill!AI23</f>
        <v>0</v>
      </c>
      <c r="AB20">
        <f>ATP_fill!AL23</f>
        <v>0</v>
      </c>
      <c r="AC20">
        <f>ATP_fill!AO23</f>
        <v>0</v>
      </c>
    </row>
    <row r="21" spans="1:29" x14ac:dyDescent="0.35">
      <c r="A21" s="4">
        <f>IF(ATP_fill!C24=0,"",ATP_fill!C24)</f>
        <v>46160</v>
      </c>
      <c r="B21" t="str">
        <f>ATP_fill!I24</f>
        <v>Trans</v>
      </c>
      <c r="C21" t="str">
        <f>ATP_fill!E24</f>
        <v>-</v>
      </c>
      <c r="D21" t="str">
        <f>ATP_fill!F24</f>
        <v>-</v>
      </c>
      <c r="E21" s="2" t="str">
        <f>ATP_fill!G24</f>
        <v>-</v>
      </c>
      <c r="F21" s="12">
        <f>ATP_fill!AZ24</f>
        <v>0</v>
      </c>
      <c r="G21">
        <f>ATP_fill!AR24</f>
        <v>0</v>
      </c>
      <c r="H21">
        <f>ATP_fill!AS24</f>
        <v>0</v>
      </c>
      <c r="I21">
        <f>ATP_fill!AT24</f>
        <v>0</v>
      </c>
      <c r="J21">
        <f>ATP_fill!AU24</f>
        <v>0</v>
      </c>
      <c r="K21">
        <f>ATP_fill!AV24</f>
        <v>0</v>
      </c>
      <c r="L21">
        <f>ATP_fill!AW24</f>
        <v>0</v>
      </c>
      <c r="M21">
        <f>ATP_fill!AX24</f>
        <v>0</v>
      </c>
      <c r="N21" s="1">
        <f>ATP_fill!BB24</f>
        <v>0</v>
      </c>
      <c r="O21" s="1">
        <f>ATP_fill!BC24</f>
        <v>0</v>
      </c>
      <c r="P21" s="1">
        <f>ATP_fill!BD24</f>
        <v>0</v>
      </c>
      <c r="Q21" s="1">
        <f>ATP_fill!BE24</f>
        <v>0</v>
      </c>
      <c r="R21" s="1">
        <f>ATP_fill!BF24</f>
        <v>0</v>
      </c>
      <c r="S21" s="1">
        <f>ATP_fill!BG24</f>
        <v>0</v>
      </c>
      <c r="T21" s="1">
        <f>ATP_fill!BH24</f>
        <v>0</v>
      </c>
      <c r="U21" s="1">
        <f>ATP_fill!BI24</f>
        <v>0</v>
      </c>
      <c r="V21">
        <f>ATP_fill!T24</f>
        <v>0</v>
      </c>
      <c r="W21">
        <f>ATP_fill!W24</f>
        <v>0</v>
      </c>
      <c r="X21">
        <f>ATP_fill!Z24</f>
        <v>0</v>
      </c>
      <c r="Y21">
        <f>ATP_fill!AC24</f>
        <v>0</v>
      </c>
      <c r="Z21">
        <f>ATP_fill!AF24</f>
        <v>0</v>
      </c>
      <c r="AA21">
        <f>ATP_fill!AI24</f>
        <v>0</v>
      </c>
      <c r="AB21">
        <f>ATP_fill!AL24</f>
        <v>0</v>
      </c>
      <c r="AC21">
        <f>ATP_fill!AO24</f>
        <v>0</v>
      </c>
    </row>
    <row r="22" spans="1:29" x14ac:dyDescent="0.35">
      <c r="A22" s="4">
        <f>IF(ATP_fill!C25=0,"",ATP_fill!C25)</f>
        <v>46167</v>
      </c>
      <c r="B22" t="str">
        <f>ATP_fill!I25</f>
        <v>Build 1</v>
      </c>
      <c r="C22" t="str">
        <f>ATP_fill!E25</f>
        <v>-</v>
      </c>
      <c r="D22" t="str">
        <f>ATP_fill!F25</f>
        <v>-</v>
      </c>
      <c r="E22" s="2" t="str">
        <f>ATP_fill!G25</f>
        <v>-</v>
      </c>
      <c r="F22" s="12">
        <f>ATP_fill!AZ25</f>
        <v>0</v>
      </c>
      <c r="G22">
        <f>ATP_fill!AR25</f>
        <v>0</v>
      </c>
      <c r="H22">
        <f>ATP_fill!AS25</f>
        <v>0</v>
      </c>
      <c r="I22">
        <f>ATP_fill!AT25</f>
        <v>0</v>
      </c>
      <c r="J22">
        <f>ATP_fill!AU25</f>
        <v>0</v>
      </c>
      <c r="K22">
        <f>ATP_fill!AV25</f>
        <v>0</v>
      </c>
      <c r="L22">
        <f>ATP_fill!AW25</f>
        <v>0</v>
      </c>
      <c r="M22">
        <f>ATP_fill!AX25</f>
        <v>0</v>
      </c>
      <c r="N22" s="1">
        <f>ATP_fill!BB25</f>
        <v>0</v>
      </c>
      <c r="O22" s="1">
        <f>ATP_fill!BC25</f>
        <v>0</v>
      </c>
      <c r="P22" s="1">
        <f>ATP_fill!BD25</f>
        <v>0</v>
      </c>
      <c r="Q22" s="1">
        <f>ATP_fill!BE25</f>
        <v>0</v>
      </c>
      <c r="R22" s="1">
        <f>ATP_fill!BF25</f>
        <v>0</v>
      </c>
      <c r="S22" s="1">
        <f>ATP_fill!BG25</f>
        <v>0</v>
      </c>
      <c r="T22" s="1">
        <f>ATP_fill!BH25</f>
        <v>0</v>
      </c>
      <c r="U22" s="1">
        <f>ATP_fill!BI25</f>
        <v>0</v>
      </c>
      <c r="V22">
        <f>ATP_fill!T25</f>
        <v>0</v>
      </c>
      <c r="W22">
        <f>ATP_fill!W25</f>
        <v>0</v>
      </c>
      <c r="X22">
        <f>ATP_fill!Z25</f>
        <v>0</v>
      </c>
      <c r="Y22">
        <f>ATP_fill!AC25</f>
        <v>0</v>
      </c>
      <c r="Z22">
        <f>ATP_fill!AF25</f>
        <v>0</v>
      </c>
      <c r="AA22">
        <f>ATP_fill!AI25</f>
        <v>0</v>
      </c>
      <c r="AB22">
        <f>ATP_fill!AL25</f>
        <v>0</v>
      </c>
      <c r="AC22">
        <f>ATP_fill!AO25</f>
        <v>0</v>
      </c>
    </row>
    <row r="23" spans="1:29" x14ac:dyDescent="0.35">
      <c r="A23" s="4">
        <f>IF(ATP_fill!C26=0,"",ATP_fill!C26)</f>
        <v>46174</v>
      </c>
      <c r="B23" t="str">
        <f>ATP_fill!I26</f>
        <v>Build 1</v>
      </c>
      <c r="C23" t="str">
        <f>ATP_fill!E26</f>
        <v>Uilentorenloop</v>
      </c>
      <c r="D23" t="str">
        <f>ATP_fill!F26</f>
        <v>A</v>
      </c>
      <c r="E23" s="2">
        <f>ATP_fill!G26</f>
        <v>46179</v>
      </c>
      <c r="F23" s="12">
        <f>ATP_fill!AZ26</f>
        <v>0</v>
      </c>
      <c r="G23">
        <f>ATP_fill!AR26</f>
        <v>0</v>
      </c>
      <c r="H23">
        <f>ATP_fill!AS26</f>
        <v>0</v>
      </c>
      <c r="I23">
        <f>ATP_fill!AT26</f>
        <v>0</v>
      </c>
      <c r="J23">
        <f>ATP_fill!AU26</f>
        <v>0</v>
      </c>
      <c r="K23">
        <f>ATP_fill!AV26</f>
        <v>0</v>
      </c>
      <c r="L23">
        <f>ATP_fill!AW26</f>
        <v>0</v>
      </c>
      <c r="M23">
        <f>ATP_fill!AX26</f>
        <v>0</v>
      </c>
      <c r="N23" s="1">
        <f>ATP_fill!BB26</f>
        <v>0</v>
      </c>
      <c r="O23" s="1">
        <f>ATP_fill!BC26</f>
        <v>0</v>
      </c>
      <c r="P23" s="1">
        <f>ATP_fill!BD26</f>
        <v>0</v>
      </c>
      <c r="Q23" s="1">
        <f>ATP_fill!BE26</f>
        <v>0</v>
      </c>
      <c r="R23" s="1">
        <f>ATP_fill!BF26</f>
        <v>0</v>
      </c>
      <c r="S23" s="1">
        <f>ATP_fill!BG26</f>
        <v>0</v>
      </c>
      <c r="T23" s="1">
        <f>ATP_fill!BH26</f>
        <v>0</v>
      </c>
      <c r="U23" s="1">
        <f>ATP_fill!BI26</f>
        <v>0</v>
      </c>
      <c r="V23">
        <f>ATP_fill!T26</f>
        <v>0</v>
      </c>
      <c r="W23">
        <f>ATP_fill!W26</f>
        <v>0</v>
      </c>
      <c r="X23">
        <f>ATP_fill!Z26</f>
        <v>0</v>
      </c>
      <c r="Y23">
        <f>ATP_fill!AC26</f>
        <v>0</v>
      </c>
      <c r="Z23">
        <f>ATP_fill!AF26</f>
        <v>0</v>
      </c>
      <c r="AA23">
        <f>ATP_fill!AI26</f>
        <v>0</v>
      </c>
      <c r="AB23">
        <f>ATP_fill!AL26</f>
        <v>0</v>
      </c>
      <c r="AC23">
        <f>ATP_fill!AO26</f>
        <v>0</v>
      </c>
    </row>
    <row r="24" spans="1:29" x14ac:dyDescent="0.35">
      <c r="A24" s="4">
        <f>IF(ATP_fill!C27=0,"",ATP_fill!C27)</f>
        <v>46181</v>
      </c>
      <c r="B24" t="str">
        <f>ATP_fill!I27</f>
        <v>Build 1</v>
      </c>
      <c r="C24" t="str">
        <f>ATP_fill!E27</f>
        <v>-</v>
      </c>
      <c r="D24" t="str">
        <f>ATP_fill!F27</f>
        <v>-</v>
      </c>
      <c r="E24" s="2" t="str">
        <f>ATP_fill!G27</f>
        <v>-</v>
      </c>
      <c r="F24" s="12">
        <f>ATP_fill!AZ27</f>
        <v>0</v>
      </c>
      <c r="G24">
        <f>ATP_fill!AR27</f>
        <v>0</v>
      </c>
      <c r="H24">
        <f>ATP_fill!AS27</f>
        <v>0</v>
      </c>
      <c r="I24">
        <f>ATP_fill!AT27</f>
        <v>0</v>
      </c>
      <c r="J24">
        <f>ATP_fill!AU27</f>
        <v>0</v>
      </c>
      <c r="K24">
        <f>ATP_fill!AV27</f>
        <v>0</v>
      </c>
      <c r="L24">
        <f>ATP_fill!AW27</f>
        <v>0</v>
      </c>
      <c r="M24">
        <f>ATP_fill!AX27</f>
        <v>0</v>
      </c>
      <c r="N24" s="1">
        <f>ATP_fill!BB27</f>
        <v>0</v>
      </c>
      <c r="O24" s="1">
        <f>ATP_fill!BC27</f>
        <v>0</v>
      </c>
      <c r="P24" s="1">
        <f>ATP_fill!BD27</f>
        <v>0</v>
      </c>
      <c r="Q24" s="1">
        <f>ATP_fill!BE27</f>
        <v>0</v>
      </c>
      <c r="R24" s="1">
        <f>ATP_fill!BF27</f>
        <v>0</v>
      </c>
      <c r="S24" s="1">
        <f>ATP_fill!BG27</f>
        <v>0</v>
      </c>
      <c r="T24" s="1">
        <f>ATP_fill!BH27</f>
        <v>0</v>
      </c>
      <c r="U24" s="1">
        <f>ATP_fill!BI27</f>
        <v>0</v>
      </c>
      <c r="V24">
        <f>ATP_fill!T27</f>
        <v>0</v>
      </c>
      <c r="W24">
        <f>ATP_fill!W27</f>
        <v>0</v>
      </c>
      <c r="X24">
        <f>ATP_fill!Z27</f>
        <v>0</v>
      </c>
      <c r="Y24">
        <f>ATP_fill!AC27</f>
        <v>0</v>
      </c>
      <c r="Z24">
        <f>ATP_fill!AF27</f>
        <v>0</v>
      </c>
      <c r="AA24">
        <f>ATP_fill!AI27</f>
        <v>0</v>
      </c>
      <c r="AB24">
        <f>ATP_fill!AL27</f>
        <v>0</v>
      </c>
      <c r="AC24">
        <f>ATP_fill!AO27</f>
        <v>0</v>
      </c>
    </row>
    <row r="25" spans="1:29" x14ac:dyDescent="0.35">
      <c r="A25" s="4">
        <f>IF(ATP_fill!C28=0,"",ATP_fill!C28)</f>
        <v>46188</v>
      </c>
      <c r="B25" t="str">
        <f>ATP_fill!I28</f>
        <v>Build 2</v>
      </c>
      <c r="C25" t="str">
        <f>ATP_fill!E28</f>
        <v>-</v>
      </c>
      <c r="D25" t="str">
        <f>ATP_fill!F28</f>
        <v>-</v>
      </c>
      <c r="E25" s="2" t="str">
        <f>ATP_fill!G28</f>
        <v>-</v>
      </c>
      <c r="F25" s="12">
        <f>ATP_fill!AZ28</f>
        <v>0</v>
      </c>
      <c r="G25">
        <f>ATP_fill!AR28</f>
        <v>0</v>
      </c>
      <c r="H25">
        <f>ATP_fill!AS28</f>
        <v>0</v>
      </c>
      <c r="I25">
        <f>ATP_fill!AT28</f>
        <v>0</v>
      </c>
      <c r="J25">
        <f>ATP_fill!AU28</f>
        <v>0</v>
      </c>
      <c r="K25">
        <f>ATP_fill!AV28</f>
        <v>0</v>
      </c>
      <c r="L25">
        <f>ATP_fill!AW28</f>
        <v>0</v>
      </c>
      <c r="M25">
        <f>ATP_fill!AX28</f>
        <v>0</v>
      </c>
      <c r="N25" s="1">
        <f>ATP_fill!BB28</f>
        <v>0</v>
      </c>
      <c r="O25" s="1">
        <f>ATP_fill!BC28</f>
        <v>0</v>
      </c>
      <c r="P25" s="1">
        <f>ATP_fill!BD28</f>
        <v>0</v>
      </c>
      <c r="Q25" s="1">
        <f>ATP_fill!BE28</f>
        <v>0</v>
      </c>
      <c r="R25" s="1">
        <f>ATP_fill!BF28</f>
        <v>0</v>
      </c>
      <c r="S25" s="1">
        <f>ATP_fill!BG28</f>
        <v>0</v>
      </c>
      <c r="T25" s="1">
        <f>ATP_fill!BH28</f>
        <v>0</v>
      </c>
      <c r="U25" s="1">
        <f>ATP_fill!BI28</f>
        <v>0</v>
      </c>
      <c r="V25">
        <f>ATP_fill!T28</f>
        <v>0</v>
      </c>
      <c r="W25">
        <f>ATP_fill!W28</f>
        <v>0</v>
      </c>
      <c r="X25">
        <f>ATP_fill!Z28</f>
        <v>0</v>
      </c>
      <c r="Y25">
        <f>ATP_fill!AC28</f>
        <v>0</v>
      </c>
      <c r="Z25">
        <f>ATP_fill!AF28</f>
        <v>0</v>
      </c>
      <c r="AA25">
        <f>ATP_fill!AI28</f>
        <v>0</v>
      </c>
      <c r="AB25">
        <f>ATP_fill!AL28</f>
        <v>0</v>
      </c>
      <c r="AC25">
        <f>ATP_fill!AO28</f>
        <v>0</v>
      </c>
    </row>
    <row r="26" spans="1:29" x14ac:dyDescent="0.35">
      <c r="A26" s="4">
        <f>IF(ATP_fill!C29=0,"",ATP_fill!C29)</f>
        <v>46195</v>
      </c>
      <c r="B26" t="str">
        <f>ATP_fill!I29</f>
        <v>Build 2</v>
      </c>
      <c r="C26" t="str">
        <f>ATP_fill!E29</f>
        <v>-</v>
      </c>
      <c r="D26" t="str">
        <f>ATP_fill!F29</f>
        <v>-</v>
      </c>
      <c r="E26" s="2" t="str">
        <f>ATP_fill!G29</f>
        <v>-</v>
      </c>
      <c r="F26" s="12">
        <f>ATP_fill!AZ29</f>
        <v>0</v>
      </c>
      <c r="G26">
        <f>ATP_fill!AR29</f>
        <v>0</v>
      </c>
      <c r="H26">
        <f>ATP_fill!AS29</f>
        <v>0</v>
      </c>
      <c r="I26">
        <f>ATP_fill!AT29</f>
        <v>0</v>
      </c>
      <c r="J26">
        <f>ATP_fill!AU29</f>
        <v>0</v>
      </c>
      <c r="K26">
        <f>ATP_fill!AV29</f>
        <v>0</v>
      </c>
      <c r="L26">
        <f>ATP_fill!AW29</f>
        <v>0</v>
      </c>
      <c r="M26">
        <f>ATP_fill!AX29</f>
        <v>0</v>
      </c>
      <c r="N26" s="1">
        <f>ATP_fill!BB29</f>
        <v>0</v>
      </c>
      <c r="O26" s="1">
        <f>ATP_fill!BC29</f>
        <v>0</v>
      </c>
      <c r="P26" s="1">
        <f>ATP_fill!BD29</f>
        <v>0</v>
      </c>
      <c r="Q26" s="1">
        <f>ATP_fill!BE29</f>
        <v>0</v>
      </c>
      <c r="R26" s="1">
        <f>ATP_fill!BF29</f>
        <v>0</v>
      </c>
      <c r="S26" s="1">
        <f>ATP_fill!BG29</f>
        <v>0</v>
      </c>
      <c r="T26" s="1">
        <f>ATP_fill!BH29</f>
        <v>0</v>
      </c>
      <c r="U26" s="1">
        <f>ATP_fill!BI29</f>
        <v>0</v>
      </c>
      <c r="V26">
        <f>ATP_fill!T29</f>
        <v>0</v>
      </c>
      <c r="W26">
        <f>ATP_fill!W29</f>
        <v>0</v>
      </c>
      <c r="X26">
        <f>ATP_fill!Z29</f>
        <v>0</v>
      </c>
      <c r="Y26">
        <f>ATP_fill!AC29</f>
        <v>0</v>
      </c>
      <c r="Z26">
        <f>ATP_fill!AF29</f>
        <v>0</v>
      </c>
      <c r="AA26">
        <f>ATP_fill!AI29</f>
        <v>0</v>
      </c>
      <c r="AB26">
        <f>ATP_fill!AL29</f>
        <v>0</v>
      </c>
      <c r="AC26">
        <f>ATP_fill!AO29</f>
        <v>0</v>
      </c>
    </row>
    <row r="27" spans="1:29" x14ac:dyDescent="0.35">
      <c r="A27" s="4">
        <f>IF(ATP_fill!C30=0,"",ATP_fill!C30)</f>
        <v>46202</v>
      </c>
      <c r="B27" t="str">
        <f>ATP_fill!I30</f>
        <v>Prep</v>
      </c>
      <c r="C27" t="str">
        <f>ATP_fill!E30</f>
        <v>-</v>
      </c>
      <c r="D27" t="str">
        <f>ATP_fill!F30</f>
        <v>-</v>
      </c>
      <c r="E27" s="2" t="str">
        <f>ATP_fill!G30</f>
        <v>-</v>
      </c>
      <c r="F27" s="12">
        <f>ATP_fill!AZ30</f>
        <v>0</v>
      </c>
      <c r="G27">
        <f>ATP_fill!AR30</f>
        <v>0</v>
      </c>
      <c r="H27">
        <f>ATP_fill!AS30</f>
        <v>0</v>
      </c>
      <c r="I27">
        <f>ATP_fill!AT30</f>
        <v>0</v>
      </c>
      <c r="J27">
        <f>ATP_fill!AU30</f>
        <v>0</v>
      </c>
      <c r="K27">
        <f>ATP_fill!AV30</f>
        <v>0</v>
      </c>
      <c r="L27">
        <f>ATP_fill!AW30</f>
        <v>0</v>
      </c>
      <c r="M27">
        <f>ATP_fill!AX30</f>
        <v>0</v>
      </c>
      <c r="N27" s="1">
        <f>ATP_fill!BB30</f>
        <v>0</v>
      </c>
      <c r="O27" s="1">
        <f>ATP_fill!BC30</f>
        <v>0</v>
      </c>
      <c r="P27" s="1">
        <f>ATP_fill!BD30</f>
        <v>0</v>
      </c>
      <c r="Q27" s="1">
        <f>ATP_fill!BE30</f>
        <v>0</v>
      </c>
      <c r="R27" s="1">
        <f>ATP_fill!BF30</f>
        <v>0</v>
      </c>
      <c r="S27" s="1">
        <f>ATP_fill!BG30</f>
        <v>0</v>
      </c>
      <c r="T27" s="1">
        <f>ATP_fill!BH30</f>
        <v>0</v>
      </c>
      <c r="U27" s="1">
        <f>ATP_fill!BI30</f>
        <v>0</v>
      </c>
      <c r="V27">
        <f>ATP_fill!T30</f>
        <v>0</v>
      </c>
      <c r="W27">
        <f>ATP_fill!W30</f>
        <v>0</v>
      </c>
      <c r="X27">
        <f>ATP_fill!Z30</f>
        <v>0</v>
      </c>
      <c r="Y27">
        <f>ATP_fill!AC30</f>
        <v>0</v>
      </c>
      <c r="Z27">
        <f>ATP_fill!AF30</f>
        <v>0</v>
      </c>
      <c r="AA27">
        <f>ATP_fill!AI30</f>
        <v>0</v>
      </c>
      <c r="AB27">
        <f>ATP_fill!AL30</f>
        <v>0</v>
      </c>
      <c r="AC27">
        <f>ATP_fill!AO30</f>
        <v>0</v>
      </c>
    </row>
    <row r="28" spans="1:29" x14ac:dyDescent="0.35">
      <c r="A28" s="4">
        <f>IF(ATP_fill!C31=0,"",ATP_fill!C31)</f>
        <v>46209</v>
      </c>
      <c r="B28" t="str">
        <f>ATP_fill!I31</f>
        <v>Trans</v>
      </c>
      <c r="C28" t="str">
        <f>ATP_fill!E31</f>
        <v>-</v>
      </c>
      <c r="D28" t="str">
        <f>ATP_fill!F31</f>
        <v>-</v>
      </c>
      <c r="E28" s="2" t="str">
        <f>ATP_fill!G31</f>
        <v>-</v>
      </c>
      <c r="F28" s="12">
        <f>ATP_fill!AZ31</f>
        <v>0</v>
      </c>
      <c r="G28">
        <f>ATP_fill!AR31</f>
        <v>0</v>
      </c>
      <c r="H28">
        <f>ATP_fill!AS31</f>
        <v>0</v>
      </c>
      <c r="I28">
        <f>ATP_fill!AT31</f>
        <v>0</v>
      </c>
      <c r="J28">
        <f>ATP_fill!AU31</f>
        <v>0</v>
      </c>
      <c r="K28">
        <f>ATP_fill!AV31</f>
        <v>0</v>
      </c>
      <c r="L28">
        <f>ATP_fill!AW31</f>
        <v>0</v>
      </c>
      <c r="M28">
        <f>ATP_fill!AX31</f>
        <v>0</v>
      </c>
      <c r="N28" s="1">
        <f>ATP_fill!BB31</f>
        <v>0</v>
      </c>
      <c r="O28" s="1">
        <f>ATP_fill!BC31</f>
        <v>0</v>
      </c>
      <c r="P28" s="1">
        <f>ATP_fill!BD31</f>
        <v>0</v>
      </c>
      <c r="Q28" s="1">
        <f>ATP_fill!BE31</f>
        <v>0</v>
      </c>
      <c r="R28" s="1">
        <f>ATP_fill!BF31</f>
        <v>0</v>
      </c>
      <c r="S28" s="1">
        <f>ATP_fill!BG31</f>
        <v>0</v>
      </c>
      <c r="T28" s="1">
        <f>ATP_fill!BH31</f>
        <v>0</v>
      </c>
      <c r="U28" s="1">
        <f>ATP_fill!BI31</f>
        <v>0</v>
      </c>
      <c r="V28">
        <f>ATP_fill!T31</f>
        <v>0</v>
      </c>
      <c r="W28">
        <f>ATP_fill!W31</f>
        <v>0</v>
      </c>
      <c r="X28">
        <f>ATP_fill!Z31</f>
        <v>0</v>
      </c>
      <c r="Y28">
        <f>ATP_fill!AC31</f>
        <v>0</v>
      </c>
      <c r="Z28">
        <f>ATP_fill!AF31</f>
        <v>0</v>
      </c>
      <c r="AA28">
        <f>ATP_fill!AI31</f>
        <v>0</v>
      </c>
      <c r="AB28">
        <f>ATP_fill!AL31</f>
        <v>0</v>
      </c>
      <c r="AC28">
        <f>ATP_fill!AO31</f>
        <v>0</v>
      </c>
    </row>
    <row r="29" spans="1:29" x14ac:dyDescent="0.35">
      <c r="A29" s="4">
        <f>IF(ATP_fill!C32=0,"",ATP_fill!C32)</f>
        <v>46216</v>
      </c>
      <c r="B29" t="str">
        <f>ATP_fill!I32</f>
        <v>Trans</v>
      </c>
      <c r="C29" t="str">
        <f>ATP_fill!E32</f>
        <v>-</v>
      </c>
      <c r="D29" t="str">
        <f>ATP_fill!F32</f>
        <v>-</v>
      </c>
      <c r="E29" s="2" t="str">
        <f>ATP_fill!G32</f>
        <v>-</v>
      </c>
      <c r="F29" s="12">
        <f>ATP_fill!AZ32</f>
        <v>0</v>
      </c>
      <c r="G29">
        <f>ATP_fill!AR32</f>
        <v>0</v>
      </c>
      <c r="H29">
        <f>ATP_fill!AS32</f>
        <v>0</v>
      </c>
      <c r="I29">
        <f>ATP_fill!AT32</f>
        <v>0</v>
      </c>
      <c r="J29">
        <f>ATP_fill!AU32</f>
        <v>0</v>
      </c>
      <c r="K29">
        <f>ATP_fill!AV32</f>
        <v>0</v>
      </c>
      <c r="L29">
        <f>ATP_fill!AW32</f>
        <v>0</v>
      </c>
      <c r="M29">
        <f>ATP_fill!AX32</f>
        <v>0</v>
      </c>
      <c r="N29" s="1">
        <f>ATP_fill!BB32</f>
        <v>0</v>
      </c>
      <c r="O29" s="1">
        <f>ATP_fill!BC32</f>
        <v>0</v>
      </c>
      <c r="P29" s="1">
        <f>ATP_fill!BD32</f>
        <v>0</v>
      </c>
      <c r="Q29" s="1">
        <f>ATP_fill!BE32</f>
        <v>0</v>
      </c>
      <c r="R29" s="1">
        <f>ATP_fill!BF32</f>
        <v>0</v>
      </c>
      <c r="S29" s="1">
        <f>ATP_fill!BG32</f>
        <v>0</v>
      </c>
      <c r="T29" s="1">
        <f>ATP_fill!BH32</f>
        <v>0</v>
      </c>
      <c r="U29" s="1">
        <f>ATP_fill!BI32</f>
        <v>0</v>
      </c>
      <c r="V29">
        <f>ATP_fill!T32</f>
        <v>0</v>
      </c>
      <c r="W29">
        <f>ATP_fill!W32</f>
        <v>0</v>
      </c>
      <c r="X29">
        <f>ATP_fill!Z32</f>
        <v>0</v>
      </c>
      <c r="Y29">
        <f>ATP_fill!AC32</f>
        <v>0</v>
      </c>
      <c r="Z29">
        <f>ATP_fill!AF32</f>
        <v>0</v>
      </c>
      <c r="AA29">
        <f>ATP_fill!AI32</f>
        <v>0</v>
      </c>
      <c r="AB29">
        <f>ATP_fill!AL32</f>
        <v>0</v>
      </c>
      <c r="AC29">
        <f>ATP_fill!AO32</f>
        <v>0</v>
      </c>
    </row>
    <row r="30" spans="1:29" x14ac:dyDescent="0.35">
      <c r="A30" s="4">
        <f>IF(ATP_fill!C33=0,"",ATP_fill!C33)</f>
        <v>46223</v>
      </c>
      <c r="B30" t="str">
        <f>ATP_fill!I33</f>
        <v>Trans</v>
      </c>
      <c r="C30" t="str">
        <f>ATP_fill!E33</f>
        <v>-</v>
      </c>
      <c r="D30" t="str">
        <f>ATP_fill!F33</f>
        <v>-</v>
      </c>
      <c r="E30" s="2" t="str">
        <f>ATP_fill!G33</f>
        <v>-</v>
      </c>
      <c r="F30" s="12">
        <f>ATP_fill!AZ33</f>
        <v>0</v>
      </c>
      <c r="G30">
        <f>ATP_fill!AR33</f>
        <v>0</v>
      </c>
      <c r="H30">
        <f>ATP_fill!AS33</f>
        <v>0</v>
      </c>
      <c r="I30">
        <f>ATP_fill!AT33</f>
        <v>0</v>
      </c>
      <c r="J30">
        <f>ATP_fill!AU33</f>
        <v>0</v>
      </c>
      <c r="K30">
        <f>ATP_fill!AV33</f>
        <v>0</v>
      </c>
      <c r="L30">
        <f>ATP_fill!AW33</f>
        <v>0</v>
      </c>
      <c r="M30">
        <f>ATP_fill!AX33</f>
        <v>0</v>
      </c>
      <c r="N30" s="1">
        <f>ATP_fill!BB33</f>
        <v>0</v>
      </c>
      <c r="O30" s="1">
        <f>ATP_fill!BC33</f>
        <v>0</v>
      </c>
      <c r="P30" s="1">
        <f>ATP_fill!BD33</f>
        <v>0</v>
      </c>
      <c r="Q30" s="1">
        <f>ATP_fill!BE33</f>
        <v>0</v>
      </c>
      <c r="R30" s="1">
        <f>ATP_fill!BF33</f>
        <v>0</v>
      </c>
      <c r="S30" s="1">
        <f>ATP_fill!BG33</f>
        <v>0</v>
      </c>
      <c r="T30" s="1">
        <f>ATP_fill!BH33</f>
        <v>0</v>
      </c>
      <c r="U30" s="1">
        <f>ATP_fill!BI33</f>
        <v>0</v>
      </c>
      <c r="V30">
        <f>ATP_fill!T33</f>
        <v>0</v>
      </c>
      <c r="W30">
        <f>ATP_fill!W33</f>
        <v>0</v>
      </c>
      <c r="X30">
        <f>ATP_fill!Z33</f>
        <v>0</v>
      </c>
      <c r="Y30">
        <f>ATP_fill!AC33</f>
        <v>0</v>
      </c>
      <c r="Z30">
        <f>ATP_fill!AF33</f>
        <v>0</v>
      </c>
      <c r="AA30">
        <f>ATP_fill!AI33</f>
        <v>0</v>
      </c>
      <c r="AB30">
        <f>ATP_fill!AL33</f>
        <v>0</v>
      </c>
      <c r="AC30">
        <f>ATP_fill!AO33</f>
        <v>0</v>
      </c>
    </row>
    <row r="31" spans="1:29" x14ac:dyDescent="0.35">
      <c r="A31" s="4">
        <f>IF(ATP_fill!C34=0,"",ATP_fill!C34)</f>
        <v>46230</v>
      </c>
      <c r="B31" t="str">
        <f>ATP_fill!I34</f>
        <v>Build 2</v>
      </c>
      <c r="C31" t="str">
        <f>ATP_fill!E34</f>
        <v>-</v>
      </c>
      <c r="D31" t="str">
        <f>ATP_fill!F34</f>
        <v>-</v>
      </c>
      <c r="E31" s="2" t="str">
        <f>ATP_fill!G34</f>
        <v>-</v>
      </c>
      <c r="F31" s="12">
        <f>ATP_fill!AZ34</f>
        <v>0</v>
      </c>
      <c r="G31">
        <f>ATP_fill!AR34</f>
        <v>0</v>
      </c>
      <c r="H31">
        <f>ATP_fill!AS34</f>
        <v>0</v>
      </c>
      <c r="I31">
        <f>ATP_fill!AT34</f>
        <v>0</v>
      </c>
      <c r="J31">
        <f>ATP_fill!AU34</f>
        <v>0</v>
      </c>
      <c r="K31">
        <f>ATP_fill!AV34</f>
        <v>0</v>
      </c>
      <c r="L31">
        <f>ATP_fill!AW34</f>
        <v>0</v>
      </c>
      <c r="M31">
        <f>ATP_fill!AX34</f>
        <v>0</v>
      </c>
      <c r="N31" s="1">
        <f>ATP_fill!BB34</f>
        <v>0</v>
      </c>
      <c r="O31" s="1">
        <f>ATP_fill!BC34</f>
        <v>0</v>
      </c>
      <c r="P31" s="1">
        <f>ATP_fill!BD34</f>
        <v>0</v>
      </c>
      <c r="Q31" s="1">
        <f>ATP_fill!BE34</f>
        <v>0</v>
      </c>
      <c r="R31" s="1">
        <f>ATP_fill!BF34</f>
        <v>0</v>
      </c>
      <c r="S31" s="1">
        <f>ATP_fill!BG34</f>
        <v>0</v>
      </c>
      <c r="T31" s="1">
        <f>ATP_fill!BH34</f>
        <v>0</v>
      </c>
      <c r="U31" s="1">
        <f>ATP_fill!BI34</f>
        <v>0</v>
      </c>
      <c r="V31">
        <f>ATP_fill!T34</f>
        <v>0</v>
      </c>
      <c r="W31">
        <f>ATP_fill!W34</f>
        <v>0</v>
      </c>
      <c r="X31">
        <f>ATP_fill!Z34</f>
        <v>0</v>
      </c>
      <c r="Y31">
        <f>ATP_fill!AC34</f>
        <v>0</v>
      </c>
      <c r="Z31">
        <f>ATP_fill!AF34</f>
        <v>0</v>
      </c>
      <c r="AA31">
        <f>ATP_fill!AI34</f>
        <v>0</v>
      </c>
      <c r="AB31">
        <f>ATP_fill!AL34</f>
        <v>0</v>
      </c>
      <c r="AC31">
        <f>ATP_fill!AO34</f>
        <v>0</v>
      </c>
    </row>
    <row r="32" spans="1:29" x14ac:dyDescent="0.35">
      <c r="A32" s="4">
        <f>IF(ATP_fill!C35=0,"",ATP_fill!C35)</f>
        <v>46237</v>
      </c>
      <c r="B32" t="str">
        <f>ATP_fill!I35</f>
        <v>Build 2</v>
      </c>
      <c r="C32" t="str">
        <f>ATP_fill!E35</f>
        <v>-</v>
      </c>
      <c r="D32" t="str">
        <f>ATP_fill!F35</f>
        <v>-</v>
      </c>
      <c r="E32" s="2" t="str">
        <f>ATP_fill!G35</f>
        <v>-</v>
      </c>
      <c r="F32" s="12">
        <f>ATP_fill!AZ35</f>
        <v>0</v>
      </c>
      <c r="G32">
        <f>ATP_fill!AR35</f>
        <v>0</v>
      </c>
      <c r="H32">
        <f>ATP_fill!AS35</f>
        <v>0</v>
      </c>
      <c r="I32">
        <f>ATP_fill!AT35</f>
        <v>0</v>
      </c>
      <c r="J32">
        <f>ATP_fill!AU35</f>
        <v>0</v>
      </c>
      <c r="K32">
        <f>ATP_fill!AV35</f>
        <v>0</v>
      </c>
      <c r="L32">
        <f>ATP_fill!AW35</f>
        <v>0</v>
      </c>
      <c r="M32">
        <f>ATP_fill!AX35</f>
        <v>0</v>
      </c>
      <c r="N32" s="1">
        <f>ATP_fill!BB35</f>
        <v>0</v>
      </c>
      <c r="O32" s="1">
        <f>ATP_fill!BC35</f>
        <v>0</v>
      </c>
      <c r="P32" s="1">
        <f>ATP_fill!BD35</f>
        <v>0</v>
      </c>
      <c r="Q32" s="1">
        <f>ATP_fill!BE35</f>
        <v>0</v>
      </c>
      <c r="R32" s="1">
        <f>ATP_fill!BF35</f>
        <v>0</v>
      </c>
      <c r="S32" s="1">
        <f>ATP_fill!BG35</f>
        <v>0</v>
      </c>
      <c r="T32" s="1">
        <f>ATP_fill!BH35</f>
        <v>0</v>
      </c>
      <c r="U32" s="1">
        <f>ATP_fill!BI35</f>
        <v>0</v>
      </c>
      <c r="V32">
        <f>ATP_fill!T35</f>
        <v>0</v>
      </c>
      <c r="W32">
        <f>ATP_fill!W35</f>
        <v>0</v>
      </c>
      <c r="X32">
        <f>ATP_fill!Z35</f>
        <v>0</v>
      </c>
      <c r="Y32">
        <f>ATP_fill!AC35</f>
        <v>0</v>
      </c>
      <c r="Z32">
        <f>ATP_fill!AF35</f>
        <v>0</v>
      </c>
      <c r="AA32">
        <f>ATP_fill!AI35</f>
        <v>0</v>
      </c>
      <c r="AB32">
        <f>ATP_fill!AL35</f>
        <v>0</v>
      </c>
      <c r="AC32">
        <f>ATP_fill!AO35</f>
        <v>0</v>
      </c>
    </row>
    <row r="33" spans="1:29" x14ac:dyDescent="0.35">
      <c r="A33" s="4">
        <f>IF(ATP_fill!C36=0,"",ATP_fill!C36)</f>
        <v>46244</v>
      </c>
      <c r="B33" t="str">
        <f>ATP_fill!I36</f>
        <v>Build 2</v>
      </c>
      <c r="C33" t="str">
        <f>ATP_fill!E36</f>
        <v>-</v>
      </c>
      <c r="D33" t="str">
        <f>ATP_fill!F36</f>
        <v>-</v>
      </c>
      <c r="E33" s="2" t="str">
        <f>ATP_fill!G36</f>
        <v>-</v>
      </c>
      <c r="F33" s="12">
        <f>ATP_fill!AZ36</f>
        <v>0</v>
      </c>
      <c r="G33">
        <f>ATP_fill!AR36</f>
        <v>0</v>
      </c>
      <c r="H33">
        <f>ATP_fill!AS36</f>
        <v>0</v>
      </c>
      <c r="I33">
        <f>ATP_fill!AT36</f>
        <v>0</v>
      </c>
      <c r="J33">
        <f>ATP_fill!AU36</f>
        <v>0</v>
      </c>
      <c r="K33">
        <f>ATP_fill!AV36</f>
        <v>0</v>
      </c>
      <c r="L33">
        <f>ATP_fill!AW36</f>
        <v>0</v>
      </c>
      <c r="M33">
        <f>ATP_fill!AX36</f>
        <v>0</v>
      </c>
      <c r="N33" s="1">
        <f>ATP_fill!BB36</f>
        <v>0</v>
      </c>
      <c r="O33" s="1">
        <f>ATP_fill!BC36</f>
        <v>0</v>
      </c>
      <c r="P33" s="1">
        <f>ATP_fill!BD36</f>
        <v>0</v>
      </c>
      <c r="Q33" s="1">
        <f>ATP_fill!BE36</f>
        <v>0</v>
      </c>
      <c r="R33" s="1">
        <f>ATP_fill!BF36</f>
        <v>0</v>
      </c>
      <c r="S33" s="1">
        <f>ATP_fill!BG36</f>
        <v>0</v>
      </c>
      <c r="T33" s="1">
        <f>ATP_fill!BH36</f>
        <v>0</v>
      </c>
      <c r="U33" s="1">
        <f>ATP_fill!BI36</f>
        <v>0</v>
      </c>
      <c r="V33">
        <f>ATP_fill!T36</f>
        <v>0</v>
      </c>
      <c r="W33">
        <f>ATP_fill!W36</f>
        <v>0</v>
      </c>
      <c r="X33">
        <f>ATP_fill!Z36</f>
        <v>0</v>
      </c>
      <c r="Y33">
        <f>ATP_fill!AC36</f>
        <v>0</v>
      </c>
      <c r="Z33">
        <f>ATP_fill!AF36</f>
        <v>0</v>
      </c>
      <c r="AA33">
        <f>ATP_fill!AI36</f>
        <v>0</v>
      </c>
      <c r="AB33">
        <f>ATP_fill!AL36</f>
        <v>0</v>
      </c>
      <c r="AC33">
        <f>ATP_fill!AO36</f>
        <v>0</v>
      </c>
    </row>
    <row r="34" spans="1:29" x14ac:dyDescent="0.35">
      <c r="A34" s="4">
        <f>IF(ATP_fill!C37=0,"",ATP_fill!C37)</f>
        <v>46251</v>
      </c>
      <c r="B34" t="str">
        <f>ATP_fill!I37</f>
        <v>Peak</v>
      </c>
      <c r="C34" t="str">
        <f>ATP_fill!E37</f>
        <v>Kwartje Anna Paulowna</v>
      </c>
      <c r="D34" t="str">
        <f>ATP_fill!F37</f>
        <v>B</v>
      </c>
      <c r="E34" s="2">
        <f>ATP_fill!G37</f>
        <v>46256</v>
      </c>
      <c r="F34" s="12">
        <f>ATP_fill!AZ37</f>
        <v>0</v>
      </c>
      <c r="G34">
        <f>ATP_fill!AR37</f>
        <v>0</v>
      </c>
      <c r="H34">
        <f>ATP_fill!AS37</f>
        <v>0</v>
      </c>
      <c r="I34">
        <f>ATP_fill!AT37</f>
        <v>0</v>
      </c>
      <c r="J34">
        <f>ATP_fill!AU37</f>
        <v>0</v>
      </c>
      <c r="K34">
        <f>ATP_fill!AV37</f>
        <v>0</v>
      </c>
      <c r="L34">
        <f>ATP_fill!AW37</f>
        <v>0</v>
      </c>
      <c r="M34">
        <f>ATP_fill!AX37</f>
        <v>0</v>
      </c>
      <c r="N34" s="1">
        <f>ATP_fill!BB37</f>
        <v>0</v>
      </c>
      <c r="O34" s="1">
        <f>ATP_fill!BC37</f>
        <v>0</v>
      </c>
      <c r="P34" s="1">
        <f>ATP_fill!BD37</f>
        <v>0</v>
      </c>
      <c r="Q34" s="1">
        <f>ATP_fill!BE37</f>
        <v>0</v>
      </c>
      <c r="R34" s="1">
        <f>ATP_fill!BF37</f>
        <v>0</v>
      </c>
      <c r="S34" s="1">
        <f>ATP_fill!BG37</f>
        <v>0</v>
      </c>
      <c r="T34" s="1">
        <f>ATP_fill!BH37</f>
        <v>0</v>
      </c>
      <c r="U34" s="1">
        <f>ATP_fill!BI37</f>
        <v>0</v>
      </c>
      <c r="V34">
        <f>ATP_fill!T37</f>
        <v>0</v>
      </c>
      <c r="W34">
        <f>ATP_fill!W37</f>
        <v>0</v>
      </c>
      <c r="X34">
        <f>ATP_fill!Z37</f>
        <v>0</v>
      </c>
      <c r="Y34">
        <f>ATP_fill!AC37</f>
        <v>0</v>
      </c>
      <c r="Z34">
        <f>ATP_fill!AF37</f>
        <v>0</v>
      </c>
      <c r="AA34">
        <f>ATP_fill!AI37</f>
        <v>0</v>
      </c>
      <c r="AB34">
        <f>ATP_fill!AL37</f>
        <v>0</v>
      </c>
      <c r="AC34">
        <f>ATP_fill!AO37</f>
        <v>0</v>
      </c>
    </row>
    <row r="35" spans="1:29" x14ac:dyDescent="0.35">
      <c r="A35" s="4">
        <f>IF(ATP_fill!C38=0,"",ATP_fill!C38)</f>
        <v>46258</v>
      </c>
      <c r="B35" t="str">
        <f>ATP_fill!I38</f>
        <v>Race</v>
      </c>
      <c r="C35" t="str">
        <f>ATP_fill!E38</f>
        <v>Crosstriatlon Renkum</v>
      </c>
      <c r="D35" t="str">
        <f>ATP_fill!F38</f>
        <v>A</v>
      </c>
      <c r="E35" s="2">
        <f>ATP_fill!G38</f>
        <v>46263</v>
      </c>
      <c r="F35" s="12">
        <f>ATP_fill!AZ38</f>
        <v>0</v>
      </c>
      <c r="G35">
        <f>ATP_fill!AR38</f>
        <v>0</v>
      </c>
      <c r="H35">
        <f>ATP_fill!AS38</f>
        <v>0</v>
      </c>
      <c r="I35">
        <f>ATP_fill!AT38</f>
        <v>0</v>
      </c>
      <c r="J35">
        <f>ATP_fill!AU38</f>
        <v>0</v>
      </c>
      <c r="K35">
        <f>ATP_fill!AV38</f>
        <v>0</v>
      </c>
      <c r="L35">
        <f>ATP_fill!AW38</f>
        <v>0</v>
      </c>
      <c r="M35">
        <f>ATP_fill!AX38</f>
        <v>0</v>
      </c>
      <c r="N35" s="1">
        <f>ATP_fill!BB38</f>
        <v>0</v>
      </c>
      <c r="O35" s="1">
        <f>ATP_fill!BC38</f>
        <v>0</v>
      </c>
      <c r="P35" s="1">
        <f>ATP_fill!BD38</f>
        <v>0</v>
      </c>
      <c r="Q35" s="1">
        <f>ATP_fill!BE38</f>
        <v>0</v>
      </c>
      <c r="R35" s="1">
        <f>ATP_fill!BF38</f>
        <v>0</v>
      </c>
      <c r="S35" s="1">
        <f>ATP_fill!BG38</f>
        <v>0</v>
      </c>
      <c r="T35" s="1">
        <f>ATP_fill!BH38</f>
        <v>0</v>
      </c>
      <c r="U35" s="1">
        <f>ATP_fill!BI38</f>
        <v>0</v>
      </c>
      <c r="V35">
        <f>ATP_fill!T38</f>
        <v>0</v>
      </c>
      <c r="W35">
        <f>ATP_fill!W38</f>
        <v>0</v>
      </c>
      <c r="X35">
        <f>ATP_fill!Z38</f>
        <v>0</v>
      </c>
      <c r="Y35">
        <f>ATP_fill!AC38</f>
        <v>0</v>
      </c>
      <c r="Z35">
        <f>ATP_fill!AF38</f>
        <v>0</v>
      </c>
      <c r="AA35">
        <f>ATP_fill!AI38</f>
        <v>0</v>
      </c>
      <c r="AB35">
        <f>ATP_fill!AL38</f>
        <v>0</v>
      </c>
      <c r="AC35">
        <f>ATP_fill!AO38</f>
        <v>0</v>
      </c>
    </row>
    <row r="36" spans="1:29" x14ac:dyDescent="0.35">
      <c r="A36" s="4">
        <f>IF(ATP_fill!C39=0,"",ATP_fill!C39)</f>
        <v>46265</v>
      </c>
      <c r="B36" t="str">
        <f>ATP_fill!I39</f>
        <v>Trans</v>
      </c>
      <c r="C36" t="str">
        <f>ATP_fill!E39</f>
        <v>-</v>
      </c>
      <c r="D36" t="str">
        <f>ATP_fill!F39</f>
        <v>-</v>
      </c>
      <c r="E36" s="2" t="str">
        <f>ATP_fill!G39</f>
        <v>-</v>
      </c>
      <c r="F36" s="12">
        <f>ATP_fill!AZ39</f>
        <v>0</v>
      </c>
      <c r="G36">
        <f>ATP_fill!AR39</f>
        <v>0</v>
      </c>
      <c r="H36">
        <f>ATP_fill!AS39</f>
        <v>0</v>
      </c>
      <c r="I36">
        <f>ATP_fill!AT39</f>
        <v>0</v>
      </c>
      <c r="J36">
        <f>ATP_fill!AU39</f>
        <v>0</v>
      </c>
      <c r="K36">
        <f>ATP_fill!AV39</f>
        <v>0</v>
      </c>
      <c r="L36">
        <f>ATP_fill!AW39</f>
        <v>0</v>
      </c>
      <c r="M36">
        <f>ATP_fill!AX39</f>
        <v>0</v>
      </c>
      <c r="N36" s="1">
        <f>ATP_fill!BB39</f>
        <v>0</v>
      </c>
      <c r="O36" s="1">
        <f>ATP_fill!BC39</f>
        <v>0</v>
      </c>
      <c r="P36" s="1">
        <f>ATP_fill!BD39</f>
        <v>0</v>
      </c>
      <c r="Q36" s="1">
        <f>ATP_fill!BE39</f>
        <v>0</v>
      </c>
      <c r="R36" s="1">
        <f>ATP_fill!BF39</f>
        <v>0</v>
      </c>
      <c r="S36" s="1">
        <f>ATP_fill!BG39</f>
        <v>0</v>
      </c>
      <c r="T36" s="1">
        <f>ATP_fill!BH39</f>
        <v>0</v>
      </c>
      <c r="U36" s="1">
        <f>ATP_fill!BI39</f>
        <v>0</v>
      </c>
      <c r="V36">
        <f>ATP_fill!T39</f>
        <v>0</v>
      </c>
      <c r="W36">
        <f>ATP_fill!W39</f>
        <v>0</v>
      </c>
      <c r="X36">
        <f>ATP_fill!Z39</f>
        <v>0</v>
      </c>
      <c r="Y36">
        <f>ATP_fill!AC39</f>
        <v>0</v>
      </c>
      <c r="Z36">
        <f>ATP_fill!AF39</f>
        <v>0</v>
      </c>
      <c r="AA36">
        <f>ATP_fill!AI39</f>
        <v>0</v>
      </c>
      <c r="AB36">
        <f>ATP_fill!AL39</f>
        <v>0</v>
      </c>
      <c r="AC36">
        <f>ATP_fill!AO39</f>
        <v>0</v>
      </c>
    </row>
    <row r="37" spans="1:29" x14ac:dyDescent="0.35">
      <c r="A37" s="4">
        <f>IF(ATP_fill!C40=0,"",ATP_fill!C40)</f>
        <v>46272</v>
      </c>
      <c r="B37" t="str">
        <f>ATP_fill!I40</f>
        <v>Trans</v>
      </c>
      <c r="C37" t="str">
        <f>ATP_fill!E40</f>
        <v>-</v>
      </c>
      <c r="D37" t="str">
        <f>ATP_fill!F40</f>
        <v>-</v>
      </c>
      <c r="E37" s="2" t="str">
        <f>ATP_fill!G40</f>
        <v>-</v>
      </c>
      <c r="F37" s="12">
        <f>ATP_fill!AZ40</f>
        <v>0</v>
      </c>
      <c r="G37">
        <f>ATP_fill!AR40</f>
        <v>0</v>
      </c>
      <c r="H37">
        <f>ATP_fill!AS40</f>
        <v>0</v>
      </c>
      <c r="I37">
        <f>ATP_fill!AT40</f>
        <v>0</v>
      </c>
      <c r="J37">
        <f>ATP_fill!AU40</f>
        <v>0</v>
      </c>
      <c r="K37">
        <f>ATP_fill!AV40</f>
        <v>0</v>
      </c>
      <c r="L37">
        <f>ATP_fill!AW40</f>
        <v>0</v>
      </c>
      <c r="M37">
        <f>ATP_fill!AX40</f>
        <v>0</v>
      </c>
      <c r="N37" s="1">
        <f>ATP_fill!BB40</f>
        <v>0</v>
      </c>
      <c r="O37" s="1">
        <f>ATP_fill!BC40</f>
        <v>0</v>
      </c>
      <c r="P37" s="1">
        <f>ATP_fill!BD40</f>
        <v>0</v>
      </c>
      <c r="Q37" s="1">
        <f>ATP_fill!BE40</f>
        <v>0</v>
      </c>
      <c r="R37" s="1">
        <f>ATP_fill!BF40</f>
        <v>0</v>
      </c>
      <c r="S37" s="1">
        <f>ATP_fill!BG40</f>
        <v>0</v>
      </c>
      <c r="T37" s="1">
        <f>ATP_fill!BH40</f>
        <v>0</v>
      </c>
      <c r="U37" s="1">
        <f>ATP_fill!BI40</f>
        <v>0</v>
      </c>
      <c r="V37">
        <f>ATP_fill!T40</f>
        <v>0</v>
      </c>
      <c r="W37">
        <f>ATP_fill!W40</f>
        <v>0</v>
      </c>
      <c r="X37">
        <f>ATP_fill!Z40</f>
        <v>0</v>
      </c>
      <c r="Y37">
        <f>ATP_fill!AC40</f>
        <v>0</v>
      </c>
      <c r="Z37">
        <f>ATP_fill!AF40</f>
        <v>0</v>
      </c>
      <c r="AA37">
        <f>ATP_fill!AI40</f>
        <v>0</v>
      </c>
      <c r="AB37">
        <f>ATP_fill!AL40</f>
        <v>0</v>
      </c>
      <c r="AC37">
        <f>ATP_fill!AO40</f>
        <v>0</v>
      </c>
    </row>
    <row r="38" spans="1:29" x14ac:dyDescent="0.35">
      <c r="A38" s="4">
        <f>IF(ATP_fill!C41=0,"",ATP_fill!C41)</f>
        <v>46279</v>
      </c>
      <c r="B38" t="str">
        <f>ATP_fill!I41</f>
        <v>Trans</v>
      </c>
      <c r="C38" t="str">
        <f>ATP_fill!E41</f>
        <v>-</v>
      </c>
      <c r="D38" t="str">
        <f>ATP_fill!F41</f>
        <v>-</v>
      </c>
      <c r="E38" s="2" t="str">
        <f>ATP_fill!G41</f>
        <v>-</v>
      </c>
      <c r="F38" s="12">
        <f>ATP_fill!AZ41</f>
        <v>0</v>
      </c>
      <c r="G38">
        <f>ATP_fill!AR41</f>
        <v>0</v>
      </c>
      <c r="H38">
        <f>ATP_fill!AS41</f>
        <v>0</v>
      </c>
      <c r="I38">
        <f>ATP_fill!AT41</f>
        <v>0</v>
      </c>
      <c r="J38">
        <f>ATP_fill!AU41</f>
        <v>0</v>
      </c>
      <c r="K38">
        <f>ATP_fill!AV41</f>
        <v>0</v>
      </c>
      <c r="L38">
        <f>ATP_fill!AW41</f>
        <v>0</v>
      </c>
      <c r="M38">
        <f>ATP_fill!AX41</f>
        <v>0</v>
      </c>
      <c r="N38" s="1">
        <f>ATP_fill!BB41</f>
        <v>0</v>
      </c>
      <c r="O38" s="1">
        <f>ATP_fill!BC41</f>
        <v>0</v>
      </c>
      <c r="P38" s="1">
        <f>ATP_fill!BD41</f>
        <v>0</v>
      </c>
      <c r="Q38" s="1">
        <f>ATP_fill!BE41</f>
        <v>0</v>
      </c>
      <c r="R38" s="1">
        <f>ATP_fill!BF41</f>
        <v>0</v>
      </c>
      <c r="S38" s="1">
        <f>ATP_fill!BG41</f>
        <v>0</v>
      </c>
      <c r="T38" s="1">
        <f>ATP_fill!BH41</f>
        <v>0</v>
      </c>
      <c r="U38" s="1">
        <f>ATP_fill!BI41</f>
        <v>0</v>
      </c>
      <c r="V38">
        <f>ATP_fill!T41</f>
        <v>0</v>
      </c>
      <c r="W38">
        <f>ATP_fill!W41</f>
        <v>0</v>
      </c>
      <c r="X38">
        <f>ATP_fill!Z41</f>
        <v>0</v>
      </c>
      <c r="Y38">
        <f>ATP_fill!AC41</f>
        <v>0</v>
      </c>
      <c r="Z38">
        <f>ATP_fill!AF41</f>
        <v>0</v>
      </c>
      <c r="AA38">
        <f>ATP_fill!AI41</f>
        <v>0</v>
      </c>
      <c r="AB38">
        <f>ATP_fill!AL41</f>
        <v>0</v>
      </c>
      <c r="AC38">
        <f>ATP_fill!AO41</f>
        <v>0</v>
      </c>
    </row>
    <row r="39" spans="1:29" x14ac:dyDescent="0.35">
      <c r="A39" s="4">
        <f>IF(ATP_fill!C42=0,"",ATP_fill!C42)</f>
        <v>46286</v>
      </c>
      <c r="B39" t="str">
        <f>ATP_fill!I42</f>
        <v>Trans</v>
      </c>
      <c r="C39" t="str">
        <f>ATP_fill!E42</f>
        <v>-</v>
      </c>
      <c r="D39" t="str">
        <f>ATP_fill!F42</f>
        <v>-</v>
      </c>
      <c r="E39" s="2" t="str">
        <f>ATP_fill!G42</f>
        <v>-</v>
      </c>
      <c r="F39" s="12">
        <f>ATP_fill!AZ42</f>
        <v>0</v>
      </c>
      <c r="G39">
        <f>ATP_fill!AR42</f>
        <v>0</v>
      </c>
      <c r="H39">
        <f>ATP_fill!AS42</f>
        <v>0</v>
      </c>
      <c r="I39">
        <f>ATP_fill!AT42</f>
        <v>0</v>
      </c>
      <c r="J39">
        <f>ATP_fill!AU42</f>
        <v>0</v>
      </c>
      <c r="K39">
        <f>ATP_fill!AV42</f>
        <v>0</v>
      </c>
      <c r="L39">
        <f>ATP_fill!AW42</f>
        <v>0</v>
      </c>
      <c r="M39">
        <f>ATP_fill!AX42</f>
        <v>0</v>
      </c>
      <c r="N39" s="1">
        <f>ATP_fill!BB42</f>
        <v>0</v>
      </c>
      <c r="O39" s="1">
        <f>ATP_fill!BC42</f>
        <v>0</v>
      </c>
      <c r="P39" s="1">
        <f>ATP_fill!BD42</f>
        <v>0</v>
      </c>
      <c r="Q39" s="1">
        <f>ATP_fill!BE42</f>
        <v>0</v>
      </c>
      <c r="R39" s="1">
        <f>ATP_fill!BF42</f>
        <v>0</v>
      </c>
      <c r="S39" s="1">
        <f>ATP_fill!BG42</f>
        <v>0</v>
      </c>
      <c r="T39" s="1">
        <f>ATP_fill!BH42</f>
        <v>0</v>
      </c>
      <c r="U39" s="1">
        <f>ATP_fill!BI42</f>
        <v>0</v>
      </c>
      <c r="V39">
        <f>ATP_fill!T42</f>
        <v>0</v>
      </c>
      <c r="W39">
        <f>ATP_fill!W42</f>
        <v>0</v>
      </c>
      <c r="X39">
        <f>ATP_fill!Z42</f>
        <v>0</v>
      </c>
      <c r="Y39">
        <f>ATP_fill!AC42</f>
        <v>0</v>
      </c>
      <c r="Z39">
        <f>ATP_fill!AF42</f>
        <v>0</v>
      </c>
      <c r="AA39">
        <f>ATP_fill!AI42</f>
        <v>0</v>
      </c>
      <c r="AB39">
        <f>ATP_fill!AL42</f>
        <v>0</v>
      </c>
      <c r="AC39">
        <f>ATP_fill!AO42</f>
        <v>0</v>
      </c>
    </row>
    <row r="40" spans="1:29" x14ac:dyDescent="0.35">
      <c r="A40" s="4">
        <f>IF(ATP_fill!C43=0,"",ATP_fill!C43)</f>
        <v>46293</v>
      </c>
      <c r="B40" t="str">
        <f>ATP_fill!I43</f>
        <v>Trans</v>
      </c>
      <c r="C40" t="str">
        <f>ATP_fill!E43</f>
        <v>-</v>
      </c>
      <c r="D40" t="str">
        <f>ATP_fill!F43</f>
        <v>-</v>
      </c>
      <c r="E40" s="2" t="str">
        <f>ATP_fill!G43</f>
        <v>-</v>
      </c>
      <c r="F40" s="12">
        <f>ATP_fill!AZ43</f>
        <v>0</v>
      </c>
      <c r="G40">
        <f>ATP_fill!AR43</f>
        <v>0</v>
      </c>
      <c r="H40">
        <f>ATP_fill!AS43</f>
        <v>0</v>
      </c>
      <c r="I40">
        <f>ATP_fill!AT43</f>
        <v>0</v>
      </c>
      <c r="J40">
        <f>ATP_fill!AU43</f>
        <v>0</v>
      </c>
      <c r="K40">
        <f>ATP_fill!AV43</f>
        <v>0</v>
      </c>
      <c r="L40">
        <f>ATP_fill!AW43</f>
        <v>0</v>
      </c>
      <c r="M40">
        <f>ATP_fill!AX43</f>
        <v>0</v>
      </c>
      <c r="N40" s="1">
        <f>ATP_fill!BB43</f>
        <v>0</v>
      </c>
      <c r="O40" s="1">
        <f>ATP_fill!BC43</f>
        <v>0</v>
      </c>
      <c r="P40" s="1">
        <f>ATP_fill!BD43</f>
        <v>0</v>
      </c>
      <c r="Q40" s="1">
        <f>ATP_fill!BE43</f>
        <v>0</v>
      </c>
      <c r="R40" s="1">
        <f>ATP_fill!BF43</f>
        <v>0</v>
      </c>
      <c r="S40" s="1">
        <f>ATP_fill!BG43</f>
        <v>0</v>
      </c>
      <c r="T40" s="1">
        <f>ATP_fill!BH43</f>
        <v>0</v>
      </c>
      <c r="U40" s="1">
        <f>ATP_fill!BI43</f>
        <v>0</v>
      </c>
      <c r="V40">
        <f>ATP_fill!T43</f>
        <v>0</v>
      </c>
      <c r="W40">
        <f>ATP_fill!W43</f>
        <v>0</v>
      </c>
      <c r="X40">
        <f>ATP_fill!Z43</f>
        <v>0</v>
      </c>
      <c r="Y40">
        <f>ATP_fill!AC43</f>
        <v>0</v>
      </c>
      <c r="Z40">
        <f>ATP_fill!AF43</f>
        <v>0</v>
      </c>
      <c r="AA40">
        <f>ATP_fill!AI43</f>
        <v>0</v>
      </c>
      <c r="AB40">
        <f>ATP_fill!AL43</f>
        <v>0</v>
      </c>
      <c r="AC40">
        <f>ATP_fill!AO43</f>
        <v>0</v>
      </c>
    </row>
    <row r="41" spans="1:29" x14ac:dyDescent="0.35">
      <c r="A41" s="4">
        <f>IF(ATP_fill!C44=0,"",ATP_fill!C44)</f>
        <v>46300</v>
      </c>
      <c r="B41" t="str">
        <f>ATP_fill!I44</f>
        <v>Trans</v>
      </c>
      <c r="C41" t="str">
        <f>ATP_fill!E44</f>
        <v>-</v>
      </c>
      <c r="D41" t="str">
        <f>ATP_fill!F44</f>
        <v>-</v>
      </c>
      <c r="E41" s="2" t="str">
        <f>ATP_fill!G44</f>
        <v>-</v>
      </c>
      <c r="F41" s="12">
        <f>ATP_fill!AZ44</f>
        <v>0</v>
      </c>
      <c r="G41">
        <f>ATP_fill!AR44</f>
        <v>0</v>
      </c>
      <c r="H41">
        <f>ATP_fill!AS44</f>
        <v>0</v>
      </c>
      <c r="I41">
        <f>ATP_fill!AT44</f>
        <v>0</v>
      </c>
      <c r="J41">
        <f>ATP_fill!AU44</f>
        <v>0</v>
      </c>
      <c r="K41">
        <f>ATP_fill!AV44</f>
        <v>0</v>
      </c>
      <c r="L41">
        <f>ATP_fill!AW44</f>
        <v>0</v>
      </c>
      <c r="M41">
        <f>ATP_fill!AX44</f>
        <v>0</v>
      </c>
      <c r="N41" s="1">
        <f>ATP_fill!BB44</f>
        <v>0</v>
      </c>
      <c r="O41" s="1">
        <f>ATP_fill!BC44</f>
        <v>0</v>
      </c>
      <c r="P41" s="1">
        <f>ATP_fill!BD44</f>
        <v>0</v>
      </c>
      <c r="Q41" s="1">
        <f>ATP_fill!BE44</f>
        <v>0</v>
      </c>
      <c r="R41" s="1">
        <f>ATP_fill!BF44</f>
        <v>0</v>
      </c>
      <c r="S41" s="1">
        <f>ATP_fill!BG44</f>
        <v>0</v>
      </c>
      <c r="T41" s="1">
        <f>ATP_fill!BH44</f>
        <v>0</v>
      </c>
      <c r="U41" s="1">
        <f>ATP_fill!BI44</f>
        <v>0</v>
      </c>
      <c r="V41">
        <f>ATP_fill!T44</f>
        <v>0</v>
      </c>
      <c r="W41">
        <f>ATP_fill!W44</f>
        <v>0</v>
      </c>
      <c r="X41">
        <f>ATP_fill!Z44</f>
        <v>0</v>
      </c>
      <c r="Y41">
        <f>ATP_fill!AC44</f>
        <v>0</v>
      </c>
      <c r="Z41">
        <f>ATP_fill!AF44</f>
        <v>0</v>
      </c>
      <c r="AA41">
        <f>ATP_fill!AI44</f>
        <v>0</v>
      </c>
      <c r="AB41">
        <f>ATP_fill!AL44</f>
        <v>0</v>
      </c>
      <c r="AC41">
        <f>ATP_fill!AO44</f>
        <v>0</v>
      </c>
    </row>
    <row r="42" spans="1:29" x14ac:dyDescent="0.35">
      <c r="A42" s="4">
        <f>IF(ATP_fill!C45=0,"",ATP_fill!C45)</f>
        <v>46307</v>
      </c>
      <c r="B42" t="str">
        <f>ATP_fill!I45</f>
        <v>Trans</v>
      </c>
      <c r="C42" t="str">
        <f>ATP_fill!E45</f>
        <v>-</v>
      </c>
      <c r="D42" t="str">
        <f>ATP_fill!F45</f>
        <v>-</v>
      </c>
      <c r="E42" s="2" t="str">
        <f>ATP_fill!G45</f>
        <v>-</v>
      </c>
      <c r="F42" s="12">
        <f>ATP_fill!AZ45</f>
        <v>0</v>
      </c>
      <c r="G42">
        <f>ATP_fill!AR45</f>
        <v>0</v>
      </c>
      <c r="H42">
        <f>ATP_fill!AS45</f>
        <v>0</v>
      </c>
      <c r="I42">
        <f>ATP_fill!AT45</f>
        <v>0</v>
      </c>
      <c r="J42">
        <f>ATP_fill!AU45</f>
        <v>0</v>
      </c>
      <c r="K42">
        <f>ATP_fill!AV45</f>
        <v>0</v>
      </c>
      <c r="L42">
        <f>ATP_fill!AW45</f>
        <v>0</v>
      </c>
      <c r="M42">
        <f>ATP_fill!AX45</f>
        <v>0</v>
      </c>
      <c r="N42" s="1">
        <f>ATP_fill!BB45</f>
        <v>0</v>
      </c>
      <c r="O42" s="1">
        <f>ATP_fill!BC45</f>
        <v>0</v>
      </c>
      <c r="P42" s="1">
        <f>ATP_fill!BD45</f>
        <v>0</v>
      </c>
      <c r="Q42" s="1">
        <f>ATP_fill!BE45</f>
        <v>0</v>
      </c>
      <c r="R42" s="1">
        <f>ATP_fill!BF45</f>
        <v>0</v>
      </c>
      <c r="S42" s="1">
        <f>ATP_fill!BG45</f>
        <v>0</v>
      </c>
      <c r="T42" s="1">
        <f>ATP_fill!BH45</f>
        <v>0</v>
      </c>
      <c r="U42" s="1">
        <f>ATP_fill!BI45</f>
        <v>0</v>
      </c>
      <c r="V42">
        <f>ATP_fill!T45</f>
        <v>0</v>
      </c>
      <c r="W42">
        <f>ATP_fill!W45</f>
        <v>0</v>
      </c>
      <c r="X42">
        <f>ATP_fill!Z45</f>
        <v>0</v>
      </c>
      <c r="Y42">
        <f>ATP_fill!AC45</f>
        <v>0</v>
      </c>
      <c r="Z42">
        <f>ATP_fill!AF45</f>
        <v>0</v>
      </c>
      <c r="AA42">
        <f>ATP_fill!AI45</f>
        <v>0</v>
      </c>
      <c r="AB42">
        <f>ATP_fill!AL45</f>
        <v>0</v>
      </c>
      <c r="AC42">
        <f>ATP_fill!AO45</f>
        <v>0</v>
      </c>
    </row>
    <row r="43" spans="1:29" x14ac:dyDescent="0.35">
      <c r="A43" s="4">
        <f>IF(ATP_fill!C46=0,"",ATP_fill!C46)</f>
        <v>46314</v>
      </c>
      <c r="B43" t="str">
        <f>ATP_fill!I46</f>
        <v>Trans</v>
      </c>
      <c r="C43" t="str">
        <f>ATP_fill!E46</f>
        <v>-</v>
      </c>
      <c r="D43" t="str">
        <f>ATP_fill!F46</f>
        <v>-</v>
      </c>
      <c r="E43" s="2" t="str">
        <f>ATP_fill!G46</f>
        <v>-</v>
      </c>
      <c r="F43" s="12">
        <f>ATP_fill!AZ46</f>
        <v>0</v>
      </c>
      <c r="G43">
        <f>ATP_fill!AR46</f>
        <v>0</v>
      </c>
      <c r="H43">
        <f>ATP_fill!AS46</f>
        <v>0</v>
      </c>
      <c r="I43">
        <f>ATP_fill!AT46</f>
        <v>0</v>
      </c>
      <c r="J43">
        <f>ATP_fill!AU46</f>
        <v>0</v>
      </c>
      <c r="K43">
        <f>ATP_fill!AV46</f>
        <v>0</v>
      </c>
      <c r="L43">
        <f>ATP_fill!AW46</f>
        <v>0</v>
      </c>
      <c r="M43">
        <f>ATP_fill!AX46</f>
        <v>0</v>
      </c>
      <c r="N43" s="1">
        <f>ATP_fill!BB46</f>
        <v>0</v>
      </c>
      <c r="O43" s="1">
        <f>ATP_fill!BC46</f>
        <v>0</v>
      </c>
      <c r="P43" s="1">
        <f>ATP_fill!BD46</f>
        <v>0</v>
      </c>
      <c r="Q43" s="1">
        <f>ATP_fill!BE46</f>
        <v>0</v>
      </c>
      <c r="R43" s="1">
        <f>ATP_fill!BF46</f>
        <v>0</v>
      </c>
      <c r="S43" s="1">
        <f>ATP_fill!BG46</f>
        <v>0</v>
      </c>
      <c r="T43" s="1">
        <f>ATP_fill!BH46</f>
        <v>0</v>
      </c>
      <c r="U43" s="1">
        <f>ATP_fill!BI46</f>
        <v>0</v>
      </c>
      <c r="V43">
        <f>ATP_fill!T46</f>
        <v>0</v>
      </c>
      <c r="W43">
        <f>ATP_fill!W46</f>
        <v>0</v>
      </c>
      <c r="X43">
        <f>ATP_fill!Z46</f>
        <v>0</v>
      </c>
      <c r="Y43">
        <f>ATP_fill!AC46</f>
        <v>0</v>
      </c>
      <c r="Z43">
        <f>ATP_fill!AF46</f>
        <v>0</v>
      </c>
      <c r="AA43">
        <f>ATP_fill!AI46</f>
        <v>0</v>
      </c>
      <c r="AB43">
        <f>ATP_fill!AL46</f>
        <v>0</v>
      </c>
      <c r="AC43">
        <f>ATP_fill!AO46</f>
        <v>0</v>
      </c>
    </row>
    <row r="44" spans="1:29" x14ac:dyDescent="0.35">
      <c r="A44" s="4">
        <f>IF(ATP_fill!C47=0,"",ATP_fill!C47)</f>
        <v>46321</v>
      </c>
      <c r="B44" t="str">
        <f>ATP_fill!I47</f>
        <v>Trans</v>
      </c>
      <c r="C44" t="str">
        <f>ATP_fill!E47</f>
        <v>-</v>
      </c>
      <c r="D44" t="str">
        <f>ATP_fill!F47</f>
        <v>-</v>
      </c>
      <c r="E44" s="2" t="str">
        <f>ATP_fill!G47</f>
        <v>-</v>
      </c>
      <c r="F44" s="12">
        <f>ATP_fill!AZ47</f>
        <v>0</v>
      </c>
      <c r="G44">
        <f>ATP_fill!AR47</f>
        <v>0</v>
      </c>
      <c r="H44">
        <f>ATP_fill!AS47</f>
        <v>0</v>
      </c>
      <c r="I44">
        <f>ATP_fill!AT47</f>
        <v>0</v>
      </c>
      <c r="J44">
        <f>ATP_fill!AU47</f>
        <v>0</v>
      </c>
      <c r="K44">
        <f>ATP_fill!AV47</f>
        <v>0</v>
      </c>
      <c r="L44">
        <f>ATP_fill!AW47</f>
        <v>0</v>
      </c>
      <c r="M44">
        <f>ATP_fill!AX47</f>
        <v>0</v>
      </c>
      <c r="N44" s="1">
        <f>ATP_fill!BB47</f>
        <v>0</v>
      </c>
      <c r="O44" s="1">
        <f>ATP_fill!BC47</f>
        <v>0</v>
      </c>
      <c r="P44" s="1">
        <f>ATP_fill!BD47</f>
        <v>0</v>
      </c>
      <c r="Q44" s="1">
        <f>ATP_fill!BE47</f>
        <v>0</v>
      </c>
      <c r="R44" s="1">
        <f>ATP_fill!BF47</f>
        <v>0</v>
      </c>
      <c r="S44" s="1">
        <f>ATP_fill!BG47</f>
        <v>0</v>
      </c>
      <c r="T44" s="1">
        <f>ATP_fill!BH47</f>
        <v>0</v>
      </c>
      <c r="U44" s="1">
        <f>ATP_fill!BI47</f>
        <v>0</v>
      </c>
      <c r="V44">
        <f>ATP_fill!T47</f>
        <v>0</v>
      </c>
      <c r="W44">
        <f>ATP_fill!W47</f>
        <v>0</v>
      </c>
      <c r="X44">
        <f>ATP_fill!Z47</f>
        <v>0</v>
      </c>
      <c r="Y44">
        <f>ATP_fill!AC47</f>
        <v>0</v>
      </c>
      <c r="Z44">
        <f>ATP_fill!AF47</f>
        <v>0</v>
      </c>
      <c r="AA44">
        <f>ATP_fill!AI47</f>
        <v>0</v>
      </c>
      <c r="AB44">
        <f>ATP_fill!AL47</f>
        <v>0</v>
      </c>
      <c r="AC44">
        <f>ATP_fill!AO47</f>
        <v>0</v>
      </c>
    </row>
    <row r="45" spans="1:29" x14ac:dyDescent="0.35">
      <c r="A45" s="4">
        <f>IF(ATP_fill!C48=0,"",ATP_fill!C48)</f>
        <v>46328</v>
      </c>
      <c r="B45" t="str">
        <f>ATP_fill!I48</f>
        <v>Trans</v>
      </c>
      <c r="C45" t="str">
        <f>ATP_fill!E48</f>
        <v>-</v>
      </c>
      <c r="D45" t="str">
        <f>ATP_fill!F48</f>
        <v>-</v>
      </c>
      <c r="E45" s="2" t="str">
        <f>ATP_fill!G48</f>
        <v>-</v>
      </c>
      <c r="F45" s="12">
        <f>ATP_fill!AZ48</f>
        <v>0</v>
      </c>
      <c r="G45">
        <f>ATP_fill!AR48</f>
        <v>0</v>
      </c>
      <c r="H45">
        <f>ATP_fill!AS48</f>
        <v>0</v>
      </c>
      <c r="I45">
        <f>ATP_fill!AT48</f>
        <v>0</v>
      </c>
      <c r="J45">
        <f>ATP_fill!AU48</f>
        <v>0</v>
      </c>
      <c r="K45">
        <f>ATP_fill!AV48</f>
        <v>0</v>
      </c>
      <c r="L45">
        <f>ATP_fill!AW48</f>
        <v>0</v>
      </c>
      <c r="M45">
        <f>ATP_fill!AX48</f>
        <v>0</v>
      </c>
      <c r="N45" s="1">
        <f>ATP_fill!BB48</f>
        <v>0</v>
      </c>
      <c r="O45" s="1">
        <f>ATP_fill!BC48</f>
        <v>0</v>
      </c>
      <c r="P45" s="1">
        <f>ATP_fill!BD48</f>
        <v>0</v>
      </c>
      <c r="Q45" s="1">
        <f>ATP_fill!BE48</f>
        <v>0</v>
      </c>
      <c r="R45" s="1">
        <f>ATP_fill!BF48</f>
        <v>0</v>
      </c>
      <c r="S45" s="1">
        <f>ATP_fill!BG48</f>
        <v>0</v>
      </c>
      <c r="T45" s="1">
        <f>ATP_fill!BH48</f>
        <v>0</v>
      </c>
      <c r="U45" s="1">
        <f>ATP_fill!BI48</f>
        <v>0</v>
      </c>
      <c r="V45">
        <f>ATP_fill!T48</f>
        <v>0</v>
      </c>
      <c r="W45">
        <f>ATP_fill!W48</f>
        <v>0</v>
      </c>
      <c r="X45">
        <f>ATP_fill!Z48</f>
        <v>0</v>
      </c>
      <c r="Y45">
        <f>ATP_fill!AC48</f>
        <v>0</v>
      </c>
      <c r="Z45">
        <f>ATP_fill!AF48</f>
        <v>0</v>
      </c>
      <c r="AA45">
        <f>ATP_fill!AI48</f>
        <v>0</v>
      </c>
      <c r="AB45">
        <f>ATP_fill!AL48</f>
        <v>0</v>
      </c>
      <c r="AC45">
        <f>ATP_fill!AO48</f>
        <v>0</v>
      </c>
    </row>
    <row r="46" spans="1:29" x14ac:dyDescent="0.35">
      <c r="A46" s="4">
        <f>IF(ATP_fill!C49=0,"",ATP_fill!C49)</f>
        <v>46335</v>
      </c>
      <c r="B46" t="str">
        <f>ATP_fill!I49</f>
        <v>Trans</v>
      </c>
      <c r="C46" t="str">
        <f>ATP_fill!E49</f>
        <v>-</v>
      </c>
      <c r="D46" t="str">
        <f>ATP_fill!F49</f>
        <v>-</v>
      </c>
      <c r="E46" s="2" t="str">
        <f>ATP_fill!G49</f>
        <v>-</v>
      </c>
      <c r="F46" s="12">
        <f>ATP_fill!AZ49</f>
        <v>0</v>
      </c>
      <c r="G46">
        <f>ATP_fill!AR49</f>
        <v>0</v>
      </c>
      <c r="H46">
        <f>ATP_fill!AS49</f>
        <v>0</v>
      </c>
      <c r="I46">
        <f>ATP_fill!AT49</f>
        <v>0</v>
      </c>
      <c r="J46">
        <f>ATP_fill!AU49</f>
        <v>0</v>
      </c>
      <c r="K46">
        <f>ATP_fill!AV49</f>
        <v>0</v>
      </c>
      <c r="L46">
        <f>ATP_fill!AW49</f>
        <v>0</v>
      </c>
      <c r="M46">
        <f>ATP_fill!AX49</f>
        <v>0</v>
      </c>
      <c r="N46" s="1">
        <f>ATP_fill!BB49</f>
        <v>0</v>
      </c>
      <c r="O46" s="1">
        <f>ATP_fill!BC49</f>
        <v>0</v>
      </c>
      <c r="P46" s="1">
        <f>ATP_fill!BD49</f>
        <v>0</v>
      </c>
      <c r="Q46" s="1">
        <f>ATP_fill!BE49</f>
        <v>0</v>
      </c>
      <c r="R46" s="1">
        <f>ATP_fill!BF49</f>
        <v>0</v>
      </c>
      <c r="S46" s="1">
        <f>ATP_fill!BG49</f>
        <v>0</v>
      </c>
      <c r="T46" s="1">
        <f>ATP_fill!BH49</f>
        <v>0</v>
      </c>
      <c r="U46" s="1">
        <f>ATP_fill!BI49</f>
        <v>0</v>
      </c>
      <c r="V46">
        <f>ATP_fill!T49</f>
        <v>0</v>
      </c>
      <c r="W46">
        <f>ATP_fill!W49</f>
        <v>0</v>
      </c>
      <c r="X46">
        <f>ATP_fill!Z49</f>
        <v>0</v>
      </c>
      <c r="Y46">
        <f>ATP_fill!AC49</f>
        <v>0</v>
      </c>
      <c r="Z46">
        <f>ATP_fill!AF49</f>
        <v>0</v>
      </c>
      <c r="AA46">
        <f>ATP_fill!AI49</f>
        <v>0</v>
      </c>
      <c r="AB46">
        <f>ATP_fill!AL49</f>
        <v>0</v>
      </c>
      <c r="AC46">
        <f>ATP_fill!AO49</f>
        <v>0</v>
      </c>
    </row>
    <row r="47" spans="1:29" x14ac:dyDescent="0.35">
      <c r="A47" s="4">
        <f>IF(ATP_fill!C50=0,"",ATP_fill!C50)</f>
        <v>46342</v>
      </c>
      <c r="B47" t="str">
        <f>ATP_fill!I50</f>
        <v>Trans</v>
      </c>
      <c r="C47" t="str">
        <f>ATP_fill!E50</f>
        <v>-</v>
      </c>
      <c r="D47" t="str">
        <f>ATP_fill!F50</f>
        <v>-</v>
      </c>
      <c r="E47" s="2" t="str">
        <f>ATP_fill!G50</f>
        <v>-</v>
      </c>
      <c r="F47" s="12">
        <f>ATP_fill!AZ50</f>
        <v>0</v>
      </c>
      <c r="G47">
        <f>ATP_fill!AR50</f>
        <v>0</v>
      </c>
      <c r="H47">
        <f>ATP_fill!AS50</f>
        <v>0</v>
      </c>
      <c r="I47">
        <f>ATP_fill!AT50</f>
        <v>0</v>
      </c>
      <c r="J47">
        <f>ATP_fill!AU50</f>
        <v>0</v>
      </c>
      <c r="K47">
        <f>ATP_fill!AV50</f>
        <v>0</v>
      </c>
      <c r="L47">
        <f>ATP_fill!AW50</f>
        <v>0</v>
      </c>
      <c r="M47">
        <f>ATP_fill!AX50</f>
        <v>0</v>
      </c>
      <c r="N47" s="1">
        <f>ATP_fill!BB50</f>
        <v>0</v>
      </c>
      <c r="O47" s="1">
        <f>ATP_fill!BC50</f>
        <v>0</v>
      </c>
      <c r="P47" s="1">
        <f>ATP_fill!BD50</f>
        <v>0</v>
      </c>
      <c r="Q47" s="1">
        <f>ATP_fill!BE50</f>
        <v>0</v>
      </c>
      <c r="R47" s="1">
        <f>ATP_fill!BF50</f>
        <v>0</v>
      </c>
      <c r="S47" s="1">
        <f>ATP_fill!BG50</f>
        <v>0</v>
      </c>
      <c r="T47" s="1">
        <f>ATP_fill!BH50</f>
        <v>0</v>
      </c>
      <c r="U47" s="1">
        <f>ATP_fill!BI50</f>
        <v>0</v>
      </c>
      <c r="V47">
        <f>ATP_fill!T50</f>
        <v>0</v>
      </c>
      <c r="W47">
        <f>ATP_fill!W50</f>
        <v>0</v>
      </c>
      <c r="X47">
        <f>ATP_fill!Z50</f>
        <v>0</v>
      </c>
      <c r="Y47">
        <f>ATP_fill!AC50</f>
        <v>0</v>
      </c>
      <c r="Z47">
        <f>ATP_fill!AF50</f>
        <v>0</v>
      </c>
      <c r="AA47">
        <f>ATP_fill!AI50</f>
        <v>0</v>
      </c>
      <c r="AB47">
        <f>ATP_fill!AL50</f>
        <v>0</v>
      </c>
      <c r="AC47">
        <f>ATP_fill!AO50</f>
        <v>0</v>
      </c>
    </row>
    <row r="48" spans="1:29" x14ac:dyDescent="0.35">
      <c r="A48" s="4">
        <f>IF(ATP_fill!C51=0,"",ATP_fill!C51)</f>
        <v>46349</v>
      </c>
      <c r="B48" t="str">
        <f>ATP_fill!I51</f>
        <v>Trans</v>
      </c>
      <c r="C48" t="str">
        <f>ATP_fill!E51</f>
        <v>-</v>
      </c>
      <c r="D48" t="str">
        <f>ATP_fill!F51</f>
        <v>-</v>
      </c>
      <c r="E48" s="2" t="str">
        <f>ATP_fill!G51</f>
        <v>-</v>
      </c>
      <c r="F48" s="12">
        <f>ATP_fill!AZ51</f>
        <v>0</v>
      </c>
      <c r="G48">
        <f>ATP_fill!AR51</f>
        <v>0</v>
      </c>
      <c r="H48">
        <f>ATP_fill!AS51</f>
        <v>0</v>
      </c>
      <c r="I48">
        <f>ATP_fill!AT51</f>
        <v>0</v>
      </c>
      <c r="J48">
        <f>ATP_fill!AU51</f>
        <v>0</v>
      </c>
      <c r="K48">
        <f>ATP_fill!AV51</f>
        <v>0</v>
      </c>
      <c r="L48">
        <f>ATP_fill!AW51</f>
        <v>0</v>
      </c>
      <c r="M48">
        <f>ATP_fill!AX51</f>
        <v>0</v>
      </c>
      <c r="N48" s="1">
        <f>ATP_fill!BB51</f>
        <v>0</v>
      </c>
      <c r="O48" s="1">
        <f>ATP_fill!BC51</f>
        <v>0</v>
      </c>
      <c r="P48" s="1">
        <f>ATP_fill!BD51</f>
        <v>0</v>
      </c>
      <c r="Q48" s="1">
        <f>ATP_fill!BE51</f>
        <v>0</v>
      </c>
      <c r="R48" s="1">
        <f>ATP_fill!BF51</f>
        <v>0</v>
      </c>
      <c r="S48" s="1">
        <f>ATP_fill!BG51</f>
        <v>0</v>
      </c>
      <c r="T48" s="1">
        <f>ATP_fill!BH51</f>
        <v>0</v>
      </c>
      <c r="U48" s="1">
        <f>ATP_fill!BI51</f>
        <v>0</v>
      </c>
      <c r="V48">
        <f>ATP_fill!T51</f>
        <v>0</v>
      </c>
      <c r="W48">
        <f>ATP_fill!W51</f>
        <v>0</v>
      </c>
      <c r="X48">
        <f>ATP_fill!Z51</f>
        <v>0</v>
      </c>
      <c r="Y48">
        <f>ATP_fill!AC51</f>
        <v>0</v>
      </c>
      <c r="Z48">
        <f>ATP_fill!AF51</f>
        <v>0</v>
      </c>
      <c r="AA48">
        <f>ATP_fill!AI51</f>
        <v>0</v>
      </c>
      <c r="AB48">
        <f>ATP_fill!AL51</f>
        <v>0</v>
      </c>
      <c r="AC48">
        <f>ATP_fill!AO51</f>
        <v>0</v>
      </c>
    </row>
    <row r="49" spans="1:29" x14ac:dyDescent="0.35">
      <c r="A49" s="4">
        <f>IF(ATP_fill!C52=0,"",ATP_fill!C52)</f>
        <v>46356</v>
      </c>
      <c r="B49" t="str">
        <f>ATP_fill!I52</f>
        <v>Trans</v>
      </c>
      <c r="C49" t="str">
        <f>ATP_fill!E52</f>
        <v>-</v>
      </c>
      <c r="D49" t="str">
        <f>ATP_fill!F52</f>
        <v>-</v>
      </c>
      <c r="E49" s="2" t="str">
        <f>ATP_fill!G52</f>
        <v>-</v>
      </c>
      <c r="F49" s="12">
        <f>ATP_fill!AZ52</f>
        <v>0</v>
      </c>
      <c r="G49">
        <f>ATP_fill!AR52</f>
        <v>0</v>
      </c>
      <c r="H49">
        <f>ATP_fill!AS52</f>
        <v>0</v>
      </c>
      <c r="I49">
        <f>ATP_fill!AT52</f>
        <v>0</v>
      </c>
      <c r="J49">
        <f>ATP_fill!AU52</f>
        <v>0</v>
      </c>
      <c r="K49">
        <f>ATP_fill!AV52</f>
        <v>0</v>
      </c>
      <c r="L49">
        <f>ATP_fill!AW52</f>
        <v>0</v>
      </c>
      <c r="M49">
        <f>ATP_fill!AX52</f>
        <v>0</v>
      </c>
      <c r="N49" s="1">
        <f>ATP_fill!BB52</f>
        <v>0</v>
      </c>
      <c r="O49" s="1">
        <f>ATP_fill!BC52</f>
        <v>0</v>
      </c>
      <c r="P49" s="1">
        <f>ATP_fill!BD52</f>
        <v>0</v>
      </c>
      <c r="Q49" s="1">
        <f>ATP_fill!BE52</f>
        <v>0</v>
      </c>
      <c r="R49" s="1">
        <f>ATP_fill!BF52</f>
        <v>0</v>
      </c>
      <c r="S49" s="1">
        <f>ATP_fill!BG52</f>
        <v>0</v>
      </c>
      <c r="T49" s="1">
        <f>ATP_fill!BH52</f>
        <v>0</v>
      </c>
      <c r="U49" s="1">
        <f>ATP_fill!BI52</f>
        <v>0</v>
      </c>
      <c r="V49">
        <f>ATP_fill!T52</f>
        <v>0</v>
      </c>
      <c r="W49">
        <f>ATP_fill!W52</f>
        <v>0</v>
      </c>
      <c r="X49">
        <f>ATP_fill!Z52</f>
        <v>0</v>
      </c>
      <c r="Y49">
        <f>ATP_fill!AC52</f>
        <v>0</v>
      </c>
      <c r="Z49">
        <f>ATP_fill!AF52</f>
        <v>0</v>
      </c>
      <c r="AA49">
        <f>ATP_fill!AI52</f>
        <v>0</v>
      </c>
      <c r="AB49">
        <f>ATP_fill!AL52</f>
        <v>0</v>
      </c>
      <c r="AC49">
        <f>ATP_fill!AO52</f>
        <v>0</v>
      </c>
    </row>
    <row r="50" spans="1:29" x14ac:dyDescent="0.35">
      <c r="A50" s="4">
        <f>IF(ATP_fill!C53=0,"",ATP_fill!C53)</f>
        <v>46363</v>
      </c>
      <c r="B50" t="str">
        <f>ATP_fill!I53</f>
        <v>Trans</v>
      </c>
      <c r="C50" t="str">
        <f>ATP_fill!E53</f>
        <v>-</v>
      </c>
      <c r="D50" t="str">
        <f>ATP_fill!F53</f>
        <v>-</v>
      </c>
      <c r="E50" s="2" t="str">
        <f>ATP_fill!G53</f>
        <v>-</v>
      </c>
      <c r="F50" s="12">
        <f>ATP_fill!AZ53</f>
        <v>0</v>
      </c>
      <c r="G50">
        <f>ATP_fill!AR53</f>
        <v>0</v>
      </c>
      <c r="H50">
        <f>ATP_fill!AS53</f>
        <v>0</v>
      </c>
      <c r="I50">
        <f>ATP_fill!AT53</f>
        <v>0</v>
      </c>
      <c r="J50">
        <f>ATP_fill!AU53</f>
        <v>0</v>
      </c>
      <c r="K50">
        <f>ATP_fill!AV53</f>
        <v>0</v>
      </c>
      <c r="L50">
        <f>ATP_fill!AW53</f>
        <v>0</v>
      </c>
      <c r="M50">
        <f>ATP_fill!AX53</f>
        <v>0</v>
      </c>
      <c r="N50" s="1">
        <f>ATP_fill!BB53</f>
        <v>0</v>
      </c>
      <c r="O50" s="1">
        <f>ATP_fill!BC53</f>
        <v>0</v>
      </c>
      <c r="P50" s="1">
        <f>ATP_fill!BD53</f>
        <v>0</v>
      </c>
      <c r="Q50" s="1">
        <f>ATP_fill!BE53</f>
        <v>0</v>
      </c>
      <c r="R50" s="1">
        <f>ATP_fill!BF53</f>
        <v>0</v>
      </c>
      <c r="S50" s="1">
        <f>ATP_fill!BG53</f>
        <v>0</v>
      </c>
      <c r="T50" s="1">
        <f>ATP_fill!BH53</f>
        <v>0</v>
      </c>
      <c r="U50" s="1">
        <f>ATP_fill!BI53</f>
        <v>0</v>
      </c>
      <c r="V50">
        <f>ATP_fill!T53</f>
        <v>0</v>
      </c>
      <c r="W50">
        <f>ATP_fill!W53</f>
        <v>0</v>
      </c>
      <c r="X50">
        <f>ATP_fill!Z53</f>
        <v>0</v>
      </c>
      <c r="Y50">
        <f>ATP_fill!AC53</f>
        <v>0</v>
      </c>
      <c r="Z50">
        <f>ATP_fill!AF53</f>
        <v>0</v>
      </c>
      <c r="AA50">
        <f>ATP_fill!AI53</f>
        <v>0</v>
      </c>
      <c r="AB50">
        <f>ATP_fill!AL53</f>
        <v>0</v>
      </c>
      <c r="AC50">
        <f>ATP_fill!AO53</f>
        <v>0</v>
      </c>
    </row>
    <row r="51" spans="1:29" x14ac:dyDescent="0.35">
      <c r="A51" s="4">
        <f>IF(ATP_fill!C54=0,"",ATP_fill!C54)</f>
        <v>46370</v>
      </c>
      <c r="B51" t="str">
        <f>ATP_fill!I54</f>
        <v>Trans</v>
      </c>
      <c r="C51" t="str">
        <f>ATP_fill!E54</f>
        <v>-</v>
      </c>
      <c r="D51" t="str">
        <f>ATP_fill!F54</f>
        <v>-</v>
      </c>
      <c r="E51" s="2" t="str">
        <f>ATP_fill!G54</f>
        <v>-</v>
      </c>
      <c r="F51" s="12">
        <f>ATP_fill!AZ54</f>
        <v>0</v>
      </c>
      <c r="G51">
        <f>ATP_fill!AR54</f>
        <v>0</v>
      </c>
      <c r="H51">
        <f>ATP_fill!AS54</f>
        <v>0</v>
      </c>
      <c r="I51">
        <f>ATP_fill!AT54</f>
        <v>0</v>
      </c>
      <c r="J51">
        <f>ATP_fill!AU54</f>
        <v>0</v>
      </c>
      <c r="K51">
        <f>ATP_fill!AV54</f>
        <v>0</v>
      </c>
      <c r="L51">
        <f>ATP_fill!AW54</f>
        <v>0</v>
      </c>
      <c r="M51">
        <f>ATP_fill!AX54</f>
        <v>0</v>
      </c>
      <c r="N51" s="1">
        <f>ATP_fill!BB54</f>
        <v>0</v>
      </c>
      <c r="O51" s="1">
        <f>ATP_fill!BC54</f>
        <v>0</v>
      </c>
      <c r="P51" s="1">
        <f>ATP_fill!BD54</f>
        <v>0</v>
      </c>
      <c r="Q51" s="1">
        <f>ATP_fill!BE54</f>
        <v>0</v>
      </c>
      <c r="R51" s="1">
        <f>ATP_fill!BF54</f>
        <v>0</v>
      </c>
      <c r="S51" s="1">
        <f>ATP_fill!BG54</f>
        <v>0</v>
      </c>
      <c r="T51" s="1">
        <f>ATP_fill!BH54</f>
        <v>0</v>
      </c>
      <c r="U51" s="1">
        <f>ATP_fill!BI54</f>
        <v>0</v>
      </c>
      <c r="V51">
        <f>ATP_fill!T54</f>
        <v>0</v>
      </c>
      <c r="W51">
        <f>ATP_fill!W54</f>
        <v>0</v>
      </c>
      <c r="X51">
        <f>ATP_fill!Z54</f>
        <v>0</v>
      </c>
      <c r="Y51">
        <f>ATP_fill!AC54</f>
        <v>0</v>
      </c>
      <c r="Z51">
        <f>ATP_fill!AF54</f>
        <v>0</v>
      </c>
      <c r="AA51">
        <f>ATP_fill!AI54</f>
        <v>0</v>
      </c>
      <c r="AB51">
        <f>ATP_fill!AL54</f>
        <v>0</v>
      </c>
      <c r="AC51">
        <f>ATP_fill!AO54</f>
        <v>0</v>
      </c>
    </row>
    <row r="52" spans="1:29" x14ac:dyDescent="0.35">
      <c r="A52" s="4">
        <f>IF(ATP_fill!C55=0,"",ATP_fill!C55)</f>
        <v>46377</v>
      </c>
      <c r="B52" t="str">
        <f>ATP_fill!I55</f>
        <v>Trans</v>
      </c>
      <c r="C52" t="str">
        <f>ATP_fill!E55</f>
        <v>-</v>
      </c>
      <c r="D52" t="str">
        <f>ATP_fill!F55</f>
        <v>-</v>
      </c>
      <c r="E52" s="2" t="str">
        <f>ATP_fill!G55</f>
        <v>-</v>
      </c>
      <c r="F52" s="12">
        <f>ATP_fill!AZ55</f>
        <v>0</v>
      </c>
      <c r="G52">
        <f>ATP_fill!AR55</f>
        <v>0</v>
      </c>
      <c r="H52">
        <f>ATP_fill!AS55</f>
        <v>0</v>
      </c>
      <c r="I52">
        <f>ATP_fill!AT55</f>
        <v>0</v>
      </c>
      <c r="J52">
        <f>ATP_fill!AU55</f>
        <v>0</v>
      </c>
      <c r="K52">
        <f>ATP_fill!AV55</f>
        <v>0</v>
      </c>
      <c r="L52">
        <f>ATP_fill!AW55</f>
        <v>0</v>
      </c>
      <c r="M52">
        <f>ATP_fill!AX55</f>
        <v>0</v>
      </c>
      <c r="N52" s="1">
        <f>ATP_fill!BB55</f>
        <v>0</v>
      </c>
      <c r="O52" s="1">
        <f>ATP_fill!BC55</f>
        <v>0</v>
      </c>
      <c r="P52" s="1">
        <f>ATP_fill!BD55</f>
        <v>0</v>
      </c>
      <c r="Q52" s="1">
        <f>ATP_fill!BE55</f>
        <v>0</v>
      </c>
      <c r="R52" s="1">
        <f>ATP_fill!BF55</f>
        <v>0</v>
      </c>
      <c r="S52" s="1">
        <f>ATP_fill!BG55</f>
        <v>0</v>
      </c>
      <c r="T52" s="1">
        <f>ATP_fill!BH55</f>
        <v>0</v>
      </c>
      <c r="U52" s="1">
        <f>ATP_fill!BI55</f>
        <v>0</v>
      </c>
      <c r="V52">
        <f>ATP_fill!T55</f>
        <v>0</v>
      </c>
      <c r="W52">
        <f>ATP_fill!W55</f>
        <v>0</v>
      </c>
      <c r="X52">
        <f>ATP_fill!Z55</f>
        <v>0</v>
      </c>
      <c r="Y52">
        <f>ATP_fill!AC55</f>
        <v>0</v>
      </c>
      <c r="Z52">
        <f>ATP_fill!AF55</f>
        <v>0</v>
      </c>
      <c r="AA52">
        <f>ATP_fill!AI55</f>
        <v>0</v>
      </c>
      <c r="AB52">
        <f>ATP_fill!AL55</f>
        <v>0</v>
      </c>
      <c r="AC52">
        <f>ATP_fill!AO55</f>
        <v>0</v>
      </c>
    </row>
    <row r="53" spans="1:29" x14ac:dyDescent="0.35">
      <c r="A53" s="4">
        <f>IF(ATP_fill!C56=0,"",ATP_fill!C56)</f>
        <v>46384</v>
      </c>
      <c r="B53" t="str">
        <f>ATP_fill!I56</f>
        <v>Trans</v>
      </c>
      <c r="C53" t="str">
        <f>ATP_fill!E56</f>
        <v>-</v>
      </c>
      <c r="D53" t="str">
        <f>ATP_fill!F56</f>
        <v>-</v>
      </c>
      <c r="E53" s="2" t="str">
        <f>ATP_fill!G56</f>
        <v>-</v>
      </c>
      <c r="F53" s="12">
        <f>ATP_fill!AZ56</f>
        <v>0</v>
      </c>
      <c r="G53">
        <f>ATP_fill!AR56</f>
        <v>0</v>
      </c>
      <c r="H53">
        <f>ATP_fill!AS56</f>
        <v>0</v>
      </c>
      <c r="I53">
        <f>ATP_fill!AT56</f>
        <v>0</v>
      </c>
      <c r="J53">
        <f>ATP_fill!AU56</f>
        <v>0</v>
      </c>
      <c r="K53">
        <f>ATP_fill!AV56</f>
        <v>0</v>
      </c>
      <c r="L53">
        <f>ATP_fill!AW56</f>
        <v>0</v>
      </c>
      <c r="M53">
        <f>ATP_fill!AX56</f>
        <v>0</v>
      </c>
      <c r="N53" s="1">
        <f>ATP_fill!BB56</f>
        <v>0</v>
      </c>
      <c r="O53" s="1">
        <f>ATP_fill!BC56</f>
        <v>0</v>
      </c>
      <c r="P53" s="1">
        <f>ATP_fill!BD56</f>
        <v>0</v>
      </c>
      <c r="Q53" s="1">
        <f>ATP_fill!BE56</f>
        <v>0</v>
      </c>
      <c r="R53" s="1">
        <f>ATP_fill!BF56</f>
        <v>0</v>
      </c>
      <c r="S53" s="1">
        <f>ATP_fill!BG56</f>
        <v>0</v>
      </c>
      <c r="T53" s="1">
        <f>ATP_fill!BH56</f>
        <v>0</v>
      </c>
      <c r="U53" s="1">
        <f>ATP_fill!BI56</f>
        <v>0</v>
      </c>
      <c r="V53">
        <f>ATP_fill!T56</f>
        <v>0</v>
      </c>
      <c r="W53">
        <f>ATP_fill!W56</f>
        <v>0</v>
      </c>
      <c r="X53">
        <f>ATP_fill!Z56</f>
        <v>0</v>
      </c>
      <c r="Y53">
        <f>ATP_fill!AC56</f>
        <v>0</v>
      </c>
      <c r="Z53">
        <f>ATP_fill!AF56</f>
        <v>0</v>
      </c>
      <c r="AA53">
        <f>ATP_fill!AI56</f>
        <v>0</v>
      </c>
      <c r="AB53">
        <f>ATP_fill!AL56</f>
        <v>0</v>
      </c>
      <c r="AC53">
        <f>ATP_fill!AO56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C0D1B-8952-40C1-9A00-E34BA66BB522}">
  <dimension ref="A4:P56"/>
  <sheetViews>
    <sheetView topLeftCell="B1" workbookViewId="0"/>
  </sheetViews>
  <sheetFormatPr defaultRowHeight="14.5" x14ac:dyDescent="0.35"/>
  <cols>
    <col min="1" max="1" width="9.6328125" customWidth="1"/>
    <col min="2" max="2" width="25.6328125" customWidth="1"/>
    <col min="3" max="3" width="22.81640625" customWidth="1"/>
    <col min="4" max="4" width="13.6328125" customWidth="1"/>
    <col min="5" max="5" width="12.6328125" customWidth="1"/>
    <col min="6" max="6" width="13.6328125" customWidth="1"/>
    <col min="7" max="7" width="17.6328125" customWidth="1"/>
    <col min="8" max="8" width="25.6328125" customWidth="1"/>
    <col min="9" max="9" width="22.90625" customWidth="1"/>
    <col min="10" max="10" width="13.6328125" customWidth="1"/>
    <col min="11" max="11" width="12.6328125" customWidth="1"/>
    <col min="12" max="12" width="13.6328125" customWidth="1"/>
    <col min="13" max="13" width="17.6328125" customWidth="1"/>
    <col min="14" max="15" width="19.6328125" customWidth="1"/>
    <col min="16" max="16" width="17.6328125" customWidth="1"/>
  </cols>
  <sheetData>
    <row r="4" spans="1:16" x14ac:dyDescent="0.35">
      <c r="A4" t="s">
        <v>12</v>
      </c>
      <c r="B4" t="s">
        <v>113</v>
      </c>
      <c r="C4" t="s">
        <v>114</v>
      </c>
      <c r="D4" t="s">
        <v>115</v>
      </c>
      <c r="E4" t="s">
        <v>116</v>
      </c>
      <c r="F4" t="s">
        <v>117</v>
      </c>
      <c r="G4" t="s">
        <v>118</v>
      </c>
      <c r="H4" t="s">
        <v>171</v>
      </c>
      <c r="I4" t="s">
        <v>172</v>
      </c>
      <c r="J4" t="s">
        <v>173</v>
      </c>
      <c r="K4" t="s">
        <v>174</v>
      </c>
      <c r="L4" t="s">
        <v>175</v>
      </c>
      <c r="M4" t="s">
        <v>176</v>
      </c>
      <c r="N4" t="s">
        <v>177</v>
      </c>
      <c r="O4" t="s">
        <v>178</v>
      </c>
      <c r="P4" t="s">
        <v>179</v>
      </c>
    </row>
    <row r="5" spans="1:16" x14ac:dyDescent="0.35">
      <c r="A5" t="s">
        <v>119</v>
      </c>
      <c r="B5">
        <v>150</v>
      </c>
      <c r="C5">
        <v>0</v>
      </c>
      <c r="D5">
        <v>158</v>
      </c>
      <c r="E5">
        <v>35</v>
      </c>
      <c r="F5">
        <v>0</v>
      </c>
      <c r="G5">
        <v>0</v>
      </c>
      <c r="H5">
        <v>150</v>
      </c>
      <c r="I5">
        <v>0</v>
      </c>
      <c r="J5">
        <v>160</v>
      </c>
      <c r="K5">
        <v>35</v>
      </c>
      <c r="L5">
        <v>0</v>
      </c>
      <c r="M5">
        <v>0</v>
      </c>
      <c r="N5">
        <v>343</v>
      </c>
      <c r="O5">
        <v>345</v>
      </c>
      <c r="P5">
        <v>-2</v>
      </c>
    </row>
    <row r="6" spans="1:16" x14ac:dyDescent="0.35">
      <c r="A6" t="s">
        <v>120</v>
      </c>
      <c r="B6">
        <v>150</v>
      </c>
      <c r="C6">
        <v>0</v>
      </c>
      <c r="D6">
        <v>248</v>
      </c>
      <c r="E6">
        <v>102</v>
      </c>
      <c r="F6">
        <v>0</v>
      </c>
      <c r="G6">
        <v>0</v>
      </c>
      <c r="H6">
        <v>150</v>
      </c>
      <c r="I6">
        <v>0</v>
      </c>
      <c r="J6">
        <v>250</v>
      </c>
      <c r="K6">
        <v>100</v>
      </c>
      <c r="L6">
        <v>0</v>
      </c>
      <c r="M6">
        <v>0</v>
      </c>
      <c r="N6">
        <v>500</v>
      </c>
      <c r="O6">
        <v>500</v>
      </c>
      <c r="P6">
        <v>0</v>
      </c>
    </row>
    <row r="7" spans="1:16" x14ac:dyDescent="0.35">
      <c r="A7" t="s">
        <v>121</v>
      </c>
      <c r="B7">
        <v>150</v>
      </c>
      <c r="C7">
        <v>0</v>
      </c>
      <c r="D7">
        <v>262</v>
      </c>
      <c r="E7">
        <v>138</v>
      </c>
      <c r="F7">
        <v>0</v>
      </c>
      <c r="G7">
        <v>0</v>
      </c>
      <c r="H7">
        <v>150</v>
      </c>
      <c r="I7">
        <v>0</v>
      </c>
      <c r="J7">
        <v>260</v>
      </c>
      <c r="K7">
        <v>140</v>
      </c>
      <c r="L7">
        <v>0</v>
      </c>
      <c r="M7">
        <v>0</v>
      </c>
      <c r="N7">
        <v>550</v>
      </c>
      <c r="O7">
        <v>550</v>
      </c>
      <c r="P7">
        <v>0</v>
      </c>
    </row>
    <row r="8" spans="1:16" x14ac:dyDescent="0.35">
      <c r="A8" t="s">
        <v>122</v>
      </c>
      <c r="B8">
        <v>150</v>
      </c>
      <c r="C8">
        <v>0</v>
      </c>
      <c r="D8">
        <v>168</v>
      </c>
      <c r="E8">
        <v>117</v>
      </c>
      <c r="F8">
        <v>0</v>
      </c>
      <c r="G8">
        <v>0</v>
      </c>
      <c r="H8">
        <v>150</v>
      </c>
      <c r="I8">
        <v>0</v>
      </c>
      <c r="J8">
        <v>170</v>
      </c>
      <c r="K8">
        <v>115</v>
      </c>
      <c r="L8">
        <v>0</v>
      </c>
      <c r="M8">
        <v>0</v>
      </c>
      <c r="N8">
        <v>435</v>
      </c>
      <c r="O8">
        <v>435</v>
      </c>
      <c r="P8">
        <v>0</v>
      </c>
    </row>
    <row r="9" spans="1:16" x14ac:dyDescent="0.35">
      <c r="A9" t="s">
        <v>123</v>
      </c>
      <c r="B9">
        <v>150</v>
      </c>
      <c r="C9">
        <v>0</v>
      </c>
      <c r="D9">
        <v>218</v>
      </c>
      <c r="E9">
        <v>148</v>
      </c>
      <c r="F9">
        <v>0</v>
      </c>
      <c r="G9">
        <v>0</v>
      </c>
      <c r="H9">
        <v>150</v>
      </c>
      <c r="I9">
        <v>0</v>
      </c>
      <c r="J9">
        <v>220</v>
      </c>
      <c r="K9">
        <v>150</v>
      </c>
      <c r="L9">
        <v>0</v>
      </c>
      <c r="M9">
        <v>0</v>
      </c>
      <c r="N9">
        <v>516</v>
      </c>
      <c r="O9">
        <v>520</v>
      </c>
      <c r="P9">
        <v>-4</v>
      </c>
    </row>
    <row r="10" spans="1:16" x14ac:dyDescent="0.35">
      <c r="A10" t="s">
        <v>124</v>
      </c>
      <c r="B10">
        <v>150</v>
      </c>
      <c r="C10">
        <v>0</v>
      </c>
      <c r="D10">
        <v>304</v>
      </c>
      <c r="E10">
        <v>190</v>
      </c>
      <c r="F10">
        <v>0</v>
      </c>
      <c r="G10">
        <v>0</v>
      </c>
      <c r="H10">
        <v>150</v>
      </c>
      <c r="I10">
        <v>0</v>
      </c>
      <c r="J10">
        <v>305</v>
      </c>
      <c r="K10">
        <v>190</v>
      </c>
      <c r="L10">
        <v>0</v>
      </c>
      <c r="M10">
        <v>0</v>
      </c>
      <c r="N10">
        <v>644</v>
      </c>
      <c r="O10">
        <v>645</v>
      </c>
      <c r="P10">
        <v>-1</v>
      </c>
    </row>
    <row r="11" spans="1:16" x14ac:dyDescent="0.35">
      <c r="A11" t="s">
        <v>125</v>
      </c>
      <c r="B11">
        <v>150</v>
      </c>
      <c r="C11">
        <v>0</v>
      </c>
      <c r="D11">
        <v>355</v>
      </c>
      <c r="E11">
        <v>201</v>
      </c>
      <c r="F11">
        <v>0</v>
      </c>
      <c r="G11">
        <v>0</v>
      </c>
      <c r="H11">
        <v>150</v>
      </c>
      <c r="I11">
        <v>0</v>
      </c>
      <c r="J11">
        <v>355</v>
      </c>
      <c r="K11">
        <v>200</v>
      </c>
      <c r="L11">
        <v>0</v>
      </c>
      <c r="M11">
        <v>0</v>
      </c>
      <c r="N11">
        <v>706</v>
      </c>
      <c r="O11">
        <v>705</v>
      </c>
      <c r="P11">
        <v>1</v>
      </c>
    </row>
    <row r="12" spans="1:16" x14ac:dyDescent="0.35">
      <c r="A12" t="s">
        <v>126</v>
      </c>
      <c r="B12">
        <v>150</v>
      </c>
      <c r="C12">
        <v>0</v>
      </c>
      <c r="D12">
        <v>158</v>
      </c>
      <c r="E12">
        <v>90</v>
      </c>
      <c r="F12">
        <v>0</v>
      </c>
      <c r="G12">
        <v>0</v>
      </c>
      <c r="H12">
        <v>150</v>
      </c>
      <c r="I12">
        <v>0</v>
      </c>
      <c r="J12">
        <v>160</v>
      </c>
      <c r="K12">
        <v>90</v>
      </c>
      <c r="L12">
        <v>0</v>
      </c>
      <c r="M12">
        <v>0</v>
      </c>
      <c r="N12">
        <v>398</v>
      </c>
      <c r="O12">
        <v>400</v>
      </c>
      <c r="P12">
        <v>-2</v>
      </c>
    </row>
    <row r="13" spans="1:16" x14ac:dyDescent="0.35">
      <c r="A13" t="s">
        <v>127</v>
      </c>
      <c r="B13">
        <v>150</v>
      </c>
      <c r="C13">
        <v>0</v>
      </c>
      <c r="D13">
        <v>234</v>
      </c>
      <c r="E13">
        <v>198</v>
      </c>
      <c r="F13">
        <v>34</v>
      </c>
      <c r="G13">
        <v>0</v>
      </c>
      <c r="H13">
        <v>150</v>
      </c>
      <c r="I13">
        <v>0</v>
      </c>
      <c r="J13">
        <v>235</v>
      </c>
      <c r="K13">
        <v>200</v>
      </c>
      <c r="L13">
        <v>35</v>
      </c>
      <c r="M13">
        <v>0</v>
      </c>
      <c r="N13">
        <v>616</v>
      </c>
      <c r="O13">
        <v>620</v>
      </c>
      <c r="P13">
        <v>-4</v>
      </c>
    </row>
    <row r="14" spans="1:16" x14ac:dyDescent="0.35">
      <c r="A14" t="s">
        <v>128</v>
      </c>
      <c r="B14">
        <v>150</v>
      </c>
      <c r="C14">
        <v>0</v>
      </c>
      <c r="D14">
        <v>229</v>
      </c>
      <c r="E14">
        <v>234</v>
      </c>
      <c r="F14">
        <v>29</v>
      </c>
      <c r="G14">
        <v>0</v>
      </c>
      <c r="H14">
        <v>150</v>
      </c>
      <c r="I14">
        <v>0</v>
      </c>
      <c r="J14">
        <v>230</v>
      </c>
      <c r="K14">
        <v>235</v>
      </c>
      <c r="L14">
        <v>30</v>
      </c>
      <c r="M14">
        <v>0</v>
      </c>
      <c r="N14">
        <v>642</v>
      </c>
      <c r="O14">
        <v>645</v>
      </c>
      <c r="P14">
        <v>-3</v>
      </c>
    </row>
    <row r="15" spans="1:16" x14ac:dyDescent="0.35">
      <c r="A15" t="s">
        <v>129</v>
      </c>
      <c r="B15">
        <v>150</v>
      </c>
      <c r="C15">
        <v>0</v>
      </c>
      <c r="D15">
        <v>231</v>
      </c>
      <c r="E15">
        <v>194</v>
      </c>
      <c r="F15">
        <v>46</v>
      </c>
      <c r="G15">
        <v>0</v>
      </c>
      <c r="H15">
        <v>150</v>
      </c>
      <c r="I15">
        <v>0</v>
      </c>
      <c r="J15">
        <v>230</v>
      </c>
      <c r="K15">
        <v>195</v>
      </c>
      <c r="L15">
        <v>45</v>
      </c>
      <c r="M15">
        <v>0</v>
      </c>
      <c r="N15">
        <v>621</v>
      </c>
      <c r="O15">
        <v>620</v>
      </c>
      <c r="P15">
        <v>1</v>
      </c>
    </row>
    <row r="16" spans="1:16" x14ac:dyDescent="0.35">
      <c r="A16" t="s">
        <v>130</v>
      </c>
      <c r="B16">
        <v>150</v>
      </c>
      <c r="C16">
        <v>0</v>
      </c>
      <c r="D16">
        <v>118</v>
      </c>
      <c r="E16">
        <v>133</v>
      </c>
      <c r="F16">
        <v>31</v>
      </c>
      <c r="G16">
        <v>0</v>
      </c>
      <c r="H16">
        <v>150</v>
      </c>
      <c r="I16">
        <v>0</v>
      </c>
      <c r="J16">
        <v>120</v>
      </c>
      <c r="K16">
        <v>135</v>
      </c>
      <c r="L16">
        <v>30</v>
      </c>
      <c r="M16">
        <v>0</v>
      </c>
      <c r="N16">
        <v>432</v>
      </c>
      <c r="O16">
        <v>435</v>
      </c>
      <c r="P16">
        <v>-3</v>
      </c>
    </row>
    <row r="17" spans="1:16" x14ac:dyDescent="0.35">
      <c r="A17" t="s">
        <v>131</v>
      </c>
      <c r="B17">
        <v>150</v>
      </c>
      <c r="C17">
        <v>0</v>
      </c>
      <c r="D17">
        <v>253</v>
      </c>
      <c r="E17">
        <v>229</v>
      </c>
      <c r="F17">
        <v>34</v>
      </c>
      <c r="G17">
        <v>0</v>
      </c>
      <c r="H17">
        <v>150</v>
      </c>
      <c r="I17">
        <v>0</v>
      </c>
      <c r="J17">
        <v>255</v>
      </c>
      <c r="K17">
        <v>230</v>
      </c>
      <c r="L17">
        <v>35</v>
      </c>
      <c r="M17">
        <v>0</v>
      </c>
      <c r="N17">
        <v>666</v>
      </c>
      <c r="O17">
        <v>670</v>
      </c>
      <c r="P17">
        <v>-4</v>
      </c>
    </row>
    <row r="18" spans="1:16" x14ac:dyDescent="0.35">
      <c r="A18" t="s">
        <v>132</v>
      </c>
      <c r="B18">
        <v>150</v>
      </c>
      <c r="C18">
        <v>0</v>
      </c>
      <c r="D18">
        <v>254</v>
      </c>
      <c r="E18">
        <v>226</v>
      </c>
      <c r="F18">
        <v>34</v>
      </c>
      <c r="G18">
        <v>0</v>
      </c>
      <c r="H18">
        <v>150</v>
      </c>
      <c r="I18">
        <v>0</v>
      </c>
      <c r="J18">
        <v>255</v>
      </c>
      <c r="K18">
        <v>225</v>
      </c>
      <c r="L18">
        <v>35</v>
      </c>
      <c r="M18">
        <v>0</v>
      </c>
      <c r="N18">
        <v>664</v>
      </c>
      <c r="O18">
        <v>665</v>
      </c>
      <c r="P18">
        <v>-1</v>
      </c>
    </row>
    <row r="19" spans="1:16" x14ac:dyDescent="0.35">
      <c r="A19" t="s">
        <v>133</v>
      </c>
      <c r="B19">
        <v>150</v>
      </c>
      <c r="C19">
        <v>0</v>
      </c>
      <c r="D19">
        <v>255</v>
      </c>
      <c r="E19">
        <v>228</v>
      </c>
      <c r="F19">
        <v>50</v>
      </c>
      <c r="G19">
        <v>0</v>
      </c>
      <c r="H19">
        <v>150</v>
      </c>
      <c r="I19">
        <v>0</v>
      </c>
      <c r="J19">
        <v>255</v>
      </c>
      <c r="K19">
        <v>230</v>
      </c>
      <c r="L19">
        <v>50</v>
      </c>
      <c r="M19">
        <v>0</v>
      </c>
      <c r="N19">
        <v>683</v>
      </c>
      <c r="O19">
        <v>685</v>
      </c>
      <c r="P19">
        <v>-2</v>
      </c>
    </row>
    <row r="20" spans="1:16" x14ac:dyDescent="0.35">
      <c r="A20" t="s">
        <v>134</v>
      </c>
      <c r="B20">
        <v>150</v>
      </c>
      <c r="C20">
        <v>0</v>
      </c>
      <c r="D20">
        <v>118</v>
      </c>
      <c r="E20">
        <v>131</v>
      </c>
      <c r="F20">
        <v>31</v>
      </c>
      <c r="G20">
        <v>0</v>
      </c>
      <c r="H20">
        <v>150</v>
      </c>
      <c r="I20">
        <v>0</v>
      </c>
      <c r="J20">
        <v>120</v>
      </c>
      <c r="K20">
        <v>130</v>
      </c>
      <c r="L20">
        <v>30</v>
      </c>
      <c r="M20">
        <v>0</v>
      </c>
      <c r="N20">
        <v>430</v>
      </c>
      <c r="O20">
        <v>430</v>
      </c>
      <c r="P20">
        <v>0</v>
      </c>
    </row>
    <row r="21" spans="1:16" x14ac:dyDescent="0.35">
      <c r="A21" t="s">
        <v>135</v>
      </c>
      <c r="B21">
        <v>150</v>
      </c>
      <c r="C21">
        <v>0</v>
      </c>
      <c r="D21">
        <v>156</v>
      </c>
      <c r="E21">
        <v>165</v>
      </c>
      <c r="F21">
        <v>31</v>
      </c>
      <c r="G21">
        <v>0</v>
      </c>
      <c r="H21">
        <v>150</v>
      </c>
      <c r="I21">
        <v>0</v>
      </c>
      <c r="J21">
        <v>155</v>
      </c>
      <c r="K21">
        <v>165</v>
      </c>
      <c r="L21">
        <v>30</v>
      </c>
      <c r="M21">
        <v>0</v>
      </c>
      <c r="N21">
        <v>502</v>
      </c>
      <c r="O21">
        <v>500</v>
      </c>
      <c r="P21">
        <v>2</v>
      </c>
    </row>
    <row r="22" spans="1:16" x14ac:dyDescent="0.35">
      <c r="A22" t="s">
        <v>136</v>
      </c>
      <c r="B22">
        <v>150</v>
      </c>
      <c r="C22">
        <v>0</v>
      </c>
      <c r="D22">
        <v>152</v>
      </c>
      <c r="E22">
        <v>96</v>
      </c>
      <c r="F22">
        <v>0</v>
      </c>
      <c r="G22">
        <v>0</v>
      </c>
      <c r="H22">
        <v>150</v>
      </c>
      <c r="I22">
        <v>0</v>
      </c>
      <c r="J22">
        <v>150</v>
      </c>
      <c r="K22">
        <v>95</v>
      </c>
      <c r="L22">
        <v>0</v>
      </c>
      <c r="M22">
        <v>0</v>
      </c>
      <c r="N22">
        <v>398</v>
      </c>
      <c r="O22">
        <v>395</v>
      </c>
      <c r="P22">
        <v>3</v>
      </c>
    </row>
    <row r="23" spans="1:16" x14ac:dyDescent="0.35">
      <c r="A23" t="s">
        <v>137</v>
      </c>
      <c r="B23">
        <v>150</v>
      </c>
      <c r="C23">
        <v>0</v>
      </c>
      <c r="D23">
        <v>100</v>
      </c>
      <c r="E23">
        <v>35</v>
      </c>
      <c r="F23">
        <v>0</v>
      </c>
      <c r="G23">
        <v>0</v>
      </c>
      <c r="H23">
        <v>150</v>
      </c>
      <c r="I23">
        <v>0</v>
      </c>
      <c r="J23">
        <v>100</v>
      </c>
      <c r="K23">
        <v>35</v>
      </c>
      <c r="L23">
        <v>0</v>
      </c>
      <c r="M23">
        <v>0</v>
      </c>
      <c r="N23">
        <v>285</v>
      </c>
      <c r="O23">
        <v>285</v>
      </c>
      <c r="P23">
        <v>0</v>
      </c>
    </row>
    <row r="24" spans="1:16" x14ac:dyDescent="0.35">
      <c r="A24" t="s">
        <v>138</v>
      </c>
      <c r="B24">
        <v>150</v>
      </c>
      <c r="C24">
        <v>0</v>
      </c>
      <c r="D24">
        <v>100</v>
      </c>
      <c r="E24">
        <v>35</v>
      </c>
      <c r="F24">
        <v>0</v>
      </c>
      <c r="G24">
        <v>0</v>
      </c>
      <c r="H24">
        <v>150</v>
      </c>
      <c r="I24">
        <v>0</v>
      </c>
      <c r="J24">
        <v>100</v>
      </c>
      <c r="K24">
        <v>35</v>
      </c>
      <c r="L24">
        <v>0</v>
      </c>
      <c r="M24">
        <v>0</v>
      </c>
      <c r="N24">
        <v>285</v>
      </c>
      <c r="O24">
        <v>285</v>
      </c>
      <c r="P24">
        <v>0</v>
      </c>
    </row>
    <row r="25" spans="1:16" x14ac:dyDescent="0.35">
      <c r="A25" t="s">
        <v>139</v>
      </c>
      <c r="B25">
        <v>150</v>
      </c>
      <c r="C25">
        <v>0</v>
      </c>
      <c r="D25">
        <v>100</v>
      </c>
      <c r="E25">
        <v>35</v>
      </c>
      <c r="F25">
        <v>0</v>
      </c>
      <c r="G25">
        <v>0</v>
      </c>
      <c r="H25">
        <v>150</v>
      </c>
      <c r="I25">
        <v>0</v>
      </c>
      <c r="J25">
        <v>100</v>
      </c>
      <c r="K25">
        <v>35</v>
      </c>
      <c r="L25">
        <v>0</v>
      </c>
      <c r="M25">
        <v>0</v>
      </c>
      <c r="N25">
        <v>285</v>
      </c>
      <c r="O25">
        <v>285</v>
      </c>
      <c r="P25">
        <v>0</v>
      </c>
    </row>
    <row r="26" spans="1:16" x14ac:dyDescent="0.35">
      <c r="A26" t="s">
        <v>140</v>
      </c>
      <c r="B26">
        <v>0</v>
      </c>
      <c r="C26">
        <v>0</v>
      </c>
      <c r="D26">
        <v>100</v>
      </c>
      <c r="E26">
        <v>35</v>
      </c>
      <c r="F26">
        <v>0</v>
      </c>
      <c r="G26">
        <v>0</v>
      </c>
      <c r="H26">
        <v>0</v>
      </c>
      <c r="I26">
        <v>0</v>
      </c>
      <c r="J26">
        <v>100</v>
      </c>
      <c r="K26">
        <v>35</v>
      </c>
      <c r="L26">
        <v>0</v>
      </c>
      <c r="M26">
        <v>0</v>
      </c>
      <c r="N26">
        <v>135</v>
      </c>
      <c r="O26">
        <v>135</v>
      </c>
      <c r="P26">
        <v>0</v>
      </c>
    </row>
    <row r="27" spans="1:16" x14ac:dyDescent="0.35">
      <c r="A27" t="s">
        <v>141</v>
      </c>
      <c r="B27">
        <v>150</v>
      </c>
      <c r="C27">
        <v>0</v>
      </c>
      <c r="D27">
        <v>100</v>
      </c>
      <c r="E27">
        <v>35</v>
      </c>
      <c r="F27">
        <v>0</v>
      </c>
      <c r="G27">
        <v>0</v>
      </c>
      <c r="H27">
        <v>150</v>
      </c>
      <c r="I27">
        <v>0</v>
      </c>
      <c r="J27">
        <v>100</v>
      </c>
      <c r="K27">
        <v>35</v>
      </c>
      <c r="L27">
        <v>0</v>
      </c>
      <c r="M27">
        <v>0</v>
      </c>
      <c r="N27">
        <v>285</v>
      </c>
      <c r="O27">
        <v>285</v>
      </c>
      <c r="P27">
        <v>0</v>
      </c>
    </row>
    <row r="28" spans="1:16" x14ac:dyDescent="0.35">
      <c r="A28" t="s">
        <v>142</v>
      </c>
      <c r="B28">
        <v>150</v>
      </c>
      <c r="C28">
        <v>0</v>
      </c>
      <c r="D28">
        <v>100</v>
      </c>
      <c r="E28">
        <v>35</v>
      </c>
      <c r="F28">
        <v>0</v>
      </c>
      <c r="G28">
        <v>0</v>
      </c>
      <c r="H28">
        <v>150</v>
      </c>
      <c r="I28">
        <v>0</v>
      </c>
      <c r="J28">
        <v>100</v>
      </c>
      <c r="K28">
        <v>35</v>
      </c>
      <c r="L28">
        <v>0</v>
      </c>
      <c r="M28">
        <v>0</v>
      </c>
      <c r="N28">
        <v>285</v>
      </c>
      <c r="O28">
        <v>285</v>
      </c>
      <c r="P28">
        <v>0</v>
      </c>
    </row>
    <row r="29" spans="1:16" x14ac:dyDescent="0.35">
      <c r="A29" t="s">
        <v>143</v>
      </c>
      <c r="B29">
        <v>150</v>
      </c>
      <c r="C29">
        <v>0</v>
      </c>
      <c r="D29">
        <v>100</v>
      </c>
      <c r="E29">
        <v>35</v>
      </c>
      <c r="F29">
        <v>0</v>
      </c>
      <c r="G29">
        <v>0</v>
      </c>
      <c r="H29">
        <v>150</v>
      </c>
      <c r="I29">
        <v>0</v>
      </c>
      <c r="J29">
        <v>100</v>
      </c>
      <c r="K29">
        <v>35</v>
      </c>
      <c r="L29">
        <v>0</v>
      </c>
      <c r="M29">
        <v>0</v>
      </c>
      <c r="N29">
        <v>285</v>
      </c>
      <c r="O29">
        <v>285</v>
      </c>
      <c r="P29">
        <v>0</v>
      </c>
    </row>
    <row r="30" spans="1:16" x14ac:dyDescent="0.35">
      <c r="A30" t="s">
        <v>144</v>
      </c>
      <c r="B30">
        <v>150</v>
      </c>
      <c r="C30">
        <v>0</v>
      </c>
      <c r="D30">
        <v>172</v>
      </c>
      <c r="E30">
        <v>35</v>
      </c>
      <c r="F30">
        <v>0</v>
      </c>
      <c r="G30">
        <v>0</v>
      </c>
      <c r="H30">
        <v>150</v>
      </c>
      <c r="I30">
        <v>0</v>
      </c>
      <c r="J30">
        <v>170</v>
      </c>
      <c r="K30">
        <v>35</v>
      </c>
      <c r="L30">
        <v>0</v>
      </c>
      <c r="M30">
        <v>0</v>
      </c>
      <c r="N30">
        <v>357</v>
      </c>
      <c r="O30">
        <v>355</v>
      </c>
      <c r="P30">
        <v>2</v>
      </c>
    </row>
    <row r="31" spans="1:16" x14ac:dyDescent="0.35">
      <c r="A31" t="s">
        <v>145</v>
      </c>
      <c r="B31">
        <v>150</v>
      </c>
      <c r="C31">
        <v>0</v>
      </c>
      <c r="D31">
        <v>172</v>
      </c>
      <c r="E31">
        <v>35</v>
      </c>
      <c r="F31">
        <v>0</v>
      </c>
      <c r="G31">
        <v>0</v>
      </c>
      <c r="H31">
        <v>150</v>
      </c>
      <c r="I31">
        <v>0</v>
      </c>
      <c r="J31">
        <v>170</v>
      </c>
      <c r="K31">
        <v>35</v>
      </c>
      <c r="L31">
        <v>0</v>
      </c>
      <c r="M31">
        <v>0</v>
      </c>
      <c r="N31">
        <v>357</v>
      </c>
      <c r="O31">
        <v>355</v>
      </c>
      <c r="P31">
        <v>2</v>
      </c>
    </row>
    <row r="32" spans="1:16" x14ac:dyDescent="0.35">
      <c r="A32" t="s">
        <v>146</v>
      </c>
      <c r="B32">
        <v>150</v>
      </c>
      <c r="C32">
        <v>0</v>
      </c>
      <c r="D32">
        <v>172</v>
      </c>
      <c r="E32">
        <v>35</v>
      </c>
      <c r="F32">
        <v>0</v>
      </c>
      <c r="G32">
        <v>0</v>
      </c>
      <c r="H32">
        <v>150</v>
      </c>
      <c r="I32">
        <v>0</v>
      </c>
      <c r="J32">
        <v>170</v>
      </c>
      <c r="K32">
        <v>35</v>
      </c>
      <c r="L32">
        <v>0</v>
      </c>
      <c r="M32">
        <v>0</v>
      </c>
      <c r="N32">
        <v>357</v>
      </c>
      <c r="O32">
        <v>355</v>
      </c>
      <c r="P32">
        <v>2</v>
      </c>
    </row>
    <row r="33" spans="1:16" x14ac:dyDescent="0.35">
      <c r="A33" t="s">
        <v>147</v>
      </c>
      <c r="B33">
        <v>150</v>
      </c>
      <c r="C33">
        <v>0</v>
      </c>
      <c r="D33">
        <v>172</v>
      </c>
      <c r="E33">
        <v>35</v>
      </c>
      <c r="F33">
        <v>0</v>
      </c>
      <c r="G33">
        <v>0</v>
      </c>
      <c r="H33">
        <v>150</v>
      </c>
      <c r="I33">
        <v>0</v>
      </c>
      <c r="J33">
        <v>170</v>
      </c>
      <c r="K33">
        <v>35</v>
      </c>
      <c r="L33">
        <v>0</v>
      </c>
      <c r="M33">
        <v>0</v>
      </c>
      <c r="N33">
        <v>357</v>
      </c>
      <c r="O33">
        <v>355</v>
      </c>
      <c r="P33">
        <v>2</v>
      </c>
    </row>
    <row r="34" spans="1:16" x14ac:dyDescent="0.35">
      <c r="A34" t="s">
        <v>148</v>
      </c>
      <c r="B34">
        <v>150</v>
      </c>
      <c r="C34">
        <v>0</v>
      </c>
      <c r="D34">
        <v>172</v>
      </c>
      <c r="E34">
        <v>35</v>
      </c>
      <c r="F34">
        <v>0</v>
      </c>
      <c r="G34">
        <v>0</v>
      </c>
      <c r="H34">
        <v>150</v>
      </c>
      <c r="I34">
        <v>0</v>
      </c>
      <c r="J34">
        <v>170</v>
      </c>
      <c r="K34">
        <v>35</v>
      </c>
      <c r="L34">
        <v>0</v>
      </c>
      <c r="M34">
        <v>0</v>
      </c>
      <c r="N34">
        <v>357</v>
      </c>
      <c r="O34">
        <v>355</v>
      </c>
      <c r="P34">
        <v>2</v>
      </c>
    </row>
    <row r="35" spans="1:16" x14ac:dyDescent="0.35">
      <c r="A35" t="s">
        <v>149</v>
      </c>
      <c r="B35">
        <v>150</v>
      </c>
      <c r="C35">
        <v>0</v>
      </c>
      <c r="D35">
        <v>144</v>
      </c>
      <c r="E35">
        <v>0</v>
      </c>
      <c r="F35">
        <v>0</v>
      </c>
      <c r="G35">
        <v>0</v>
      </c>
      <c r="H35">
        <v>150</v>
      </c>
      <c r="I35">
        <v>0</v>
      </c>
      <c r="J35">
        <v>145</v>
      </c>
      <c r="K35">
        <v>0</v>
      </c>
      <c r="L35">
        <v>0</v>
      </c>
      <c r="M35">
        <v>0</v>
      </c>
      <c r="N35">
        <v>294</v>
      </c>
      <c r="O35">
        <v>295</v>
      </c>
      <c r="P35">
        <v>-1</v>
      </c>
    </row>
    <row r="36" spans="1:16" x14ac:dyDescent="0.35">
      <c r="A36" t="s">
        <v>150</v>
      </c>
      <c r="B36">
        <v>150</v>
      </c>
      <c r="C36">
        <v>0</v>
      </c>
      <c r="D36">
        <v>0</v>
      </c>
      <c r="E36">
        <v>0</v>
      </c>
      <c r="F36">
        <v>0</v>
      </c>
      <c r="G36">
        <v>0</v>
      </c>
      <c r="H36">
        <v>150</v>
      </c>
      <c r="I36">
        <v>0</v>
      </c>
      <c r="J36">
        <v>0</v>
      </c>
      <c r="K36">
        <v>0</v>
      </c>
      <c r="L36">
        <v>0</v>
      </c>
      <c r="M36">
        <v>0</v>
      </c>
      <c r="N36">
        <v>150</v>
      </c>
      <c r="O36">
        <v>150</v>
      </c>
      <c r="P36">
        <v>0</v>
      </c>
    </row>
    <row r="37" spans="1:16" x14ac:dyDescent="0.35">
      <c r="A37" t="s">
        <v>151</v>
      </c>
      <c r="B37">
        <v>150</v>
      </c>
      <c r="C37">
        <v>0</v>
      </c>
      <c r="D37">
        <v>0</v>
      </c>
      <c r="E37">
        <v>0</v>
      </c>
      <c r="F37">
        <v>0</v>
      </c>
      <c r="G37">
        <v>0</v>
      </c>
      <c r="H37">
        <v>150</v>
      </c>
      <c r="I37">
        <v>0</v>
      </c>
      <c r="J37">
        <v>0</v>
      </c>
      <c r="K37">
        <v>0</v>
      </c>
      <c r="L37">
        <v>0</v>
      </c>
      <c r="M37">
        <v>0</v>
      </c>
      <c r="N37">
        <v>150</v>
      </c>
      <c r="O37">
        <v>150</v>
      </c>
      <c r="P37">
        <v>0</v>
      </c>
    </row>
    <row r="38" spans="1:16" x14ac:dyDescent="0.35">
      <c r="A38" t="s">
        <v>152</v>
      </c>
      <c r="B38">
        <v>150</v>
      </c>
      <c r="C38">
        <v>0</v>
      </c>
      <c r="D38">
        <v>0</v>
      </c>
      <c r="E38">
        <v>0</v>
      </c>
      <c r="F38">
        <v>0</v>
      </c>
      <c r="G38">
        <v>0</v>
      </c>
      <c r="H38">
        <v>150</v>
      </c>
      <c r="I38">
        <v>0</v>
      </c>
      <c r="J38">
        <v>0</v>
      </c>
      <c r="K38">
        <v>0</v>
      </c>
      <c r="L38">
        <v>0</v>
      </c>
      <c r="M38">
        <v>0</v>
      </c>
      <c r="N38">
        <v>150</v>
      </c>
      <c r="O38">
        <v>150</v>
      </c>
      <c r="P38">
        <v>0</v>
      </c>
    </row>
    <row r="39" spans="1:16" x14ac:dyDescent="0.35">
      <c r="A39" t="s">
        <v>153</v>
      </c>
      <c r="B39">
        <v>150</v>
      </c>
      <c r="C39">
        <v>0</v>
      </c>
      <c r="D39">
        <v>0</v>
      </c>
      <c r="E39">
        <v>0</v>
      </c>
      <c r="F39">
        <v>0</v>
      </c>
      <c r="G39">
        <v>0</v>
      </c>
      <c r="H39">
        <v>150</v>
      </c>
      <c r="I39">
        <v>0</v>
      </c>
      <c r="J39">
        <v>0</v>
      </c>
      <c r="K39">
        <v>0</v>
      </c>
      <c r="L39">
        <v>0</v>
      </c>
      <c r="M39">
        <v>0</v>
      </c>
      <c r="N39">
        <v>150</v>
      </c>
      <c r="O39">
        <v>150</v>
      </c>
      <c r="P39">
        <v>0</v>
      </c>
    </row>
    <row r="40" spans="1:16" x14ac:dyDescent="0.35">
      <c r="A40" t="s">
        <v>154</v>
      </c>
      <c r="B40">
        <v>150</v>
      </c>
      <c r="C40">
        <v>0</v>
      </c>
      <c r="D40">
        <v>0</v>
      </c>
      <c r="E40">
        <v>0</v>
      </c>
      <c r="F40">
        <v>0</v>
      </c>
      <c r="G40">
        <v>0</v>
      </c>
      <c r="H40">
        <v>150</v>
      </c>
      <c r="I40">
        <v>0</v>
      </c>
      <c r="J40">
        <v>0</v>
      </c>
      <c r="K40">
        <v>0</v>
      </c>
      <c r="L40">
        <v>0</v>
      </c>
      <c r="M40">
        <v>0</v>
      </c>
      <c r="N40">
        <v>150</v>
      </c>
      <c r="O40">
        <v>150</v>
      </c>
      <c r="P40">
        <v>0</v>
      </c>
    </row>
    <row r="41" spans="1:16" x14ac:dyDescent="0.35">
      <c r="A41" t="s">
        <v>155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150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150</v>
      </c>
      <c r="P41">
        <v>-150</v>
      </c>
    </row>
    <row r="42" spans="1:16" x14ac:dyDescent="0.35">
      <c r="A42" t="s">
        <v>156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150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150</v>
      </c>
      <c r="P42">
        <v>-150</v>
      </c>
    </row>
    <row r="43" spans="1:16" x14ac:dyDescent="0.35">
      <c r="A43" t="s">
        <v>157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150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150</v>
      </c>
      <c r="P43">
        <v>-150</v>
      </c>
    </row>
    <row r="44" spans="1:16" x14ac:dyDescent="0.35">
      <c r="A44" t="s">
        <v>158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150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150</v>
      </c>
      <c r="P44">
        <v>-150</v>
      </c>
    </row>
    <row r="45" spans="1:16" x14ac:dyDescent="0.35">
      <c r="A45" t="s">
        <v>159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150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150</v>
      </c>
      <c r="P45">
        <v>-150</v>
      </c>
    </row>
    <row r="46" spans="1:16" x14ac:dyDescent="0.35">
      <c r="A46" t="s">
        <v>160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150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150</v>
      </c>
      <c r="P46">
        <v>-150</v>
      </c>
    </row>
    <row r="47" spans="1:16" x14ac:dyDescent="0.35">
      <c r="A47" t="s">
        <v>161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150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150</v>
      </c>
      <c r="P47">
        <v>-150</v>
      </c>
    </row>
    <row r="48" spans="1:16" x14ac:dyDescent="0.35">
      <c r="A48" t="s">
        <v>162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150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150</v>
      </c>
      <c r="P48">
        <v>-150</v>
      </c>
    </row>
    <row r="49" spans="1:16" x14ac:dyDescent="0.35">
      <c r="A49" t="s">
        <v>163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150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150</v>
      </c>
      <c r="P49">
        <v>-150</v>
      </c>
    </row>
    <row r="50" spans="1:16" x14ac:dyDescent="0.35">
      <c r="A50" t="s">
        <v>164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150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150</v>
      </c>
      <c r="P50">
        <v>-150</v>
      </c>
    </row>
    <row r="51" spans="1:16" x14ac:dyDescent="0.35">
      <c r="A51" t="s">
        <v>165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150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150</v>
      </c>
      <c r="P51">
        <v>-150</v>
      </c>
    </row>
    <row r="52" spans="1:16" x14ac:dyDescent="0.35">
      <c r="A52" t="s">
        <v>166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150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150</v>
      </c>
      <c r="P52">
        <v>-150</v>
      </c>
    </row>
    <row r="53" spans="1:16" x14ac:dyDescent="0.35">
      <c r="A53" t="s">
        <v>167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150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150</v>
      </c>
      <c r="P53">
        <v>-150</v>
      </c>
    </row>
    <row r="54" spans="1:16" x14ac:dyDescent="0.35">
      <c r="A54" t="s">
        <v>168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150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150</v>
      </c>
      <c r="P54">
        <v>-150</v>
      </c>
    </row>
    <row r="55" spans="1:16" x14ac:dyDescent="0.35">
      <c r="A55" t="s">
        <v>169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150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150</v>
      </c>
      <c r="P55">
        <v>-150</v>
      </c>
    </row>
    <row r="56" spans="1:16" x14ac:dyDescent="0.35">
      <c r="A56" t="s">
        <v>170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150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150</v>
      </c>
      <c r="P56">
        <v>-150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FFA02-441A-4B9F-89C6-D534D19D3746}">
  <dimension ref="A4:G56"/>
  <sheetViews>
    <sheetView workbookViewId="0"/>
  </sheetViews>
  <sheetFormatPr defaultRowHeight="14.5" x14ac:dyDescent="0.35"/>
  <cols>
    <col min="1" max="1" width="9.6328125" customWidth="1"/>
    <col min="2" max="2" width="25.6328125" customWidth="1"/>
    <col min="3" max="3" width="22.81640625" customWidth="1"/>
    <col min="4" max="4" width="13.6328125" customWidth="1"/>
    <col min="5" max="5" width="12.6328125" customWidth="1"/>
    <col min="6" max="6" width="13.6328125" customWidth="1"/>
    <col min="7" max="7" width="17.6328125" customWidth="1"/>
  </cols>
  <sheetData>
    <row r="4" spans="1:7" x14ac:dyDescent="0.35">
      <c r="A4" t="s">
        <v>12</v>
      </c>
      <c r="B4" t="s">
        <v>113</v>
      </c>
      <c r="C4" t="s">
        <v>114</v>
      </c>
      <c r="D4" t="s">
        <v>115</v>
      </c>
      <c r="E4" t="s">
        <v>116</v>
      </c>
      <c r="F4" t="s">
        <v>117</v>
      </c>
      <c r="G4" t="s">
        <v>118</v>
      </c>
    </row>
    <row r="5" spans="1:7" x14ac:dyDescent="0.35">
      <c r="A5" t="s">
        <v>119</v>
      </c>
      <c r="B5">
        <v>150</v>
      </c>
      <c r="C5">
        <v>0</v>
      </c>
      <c r="D5">
        <v>158</v>
      </c>
      <c r="E5">
        <v>35</v>
      </c>
      <c r="F5">
        <v>0</v>
      </c>
      <c r="G5">
        <v>0</v>
      </c>
    </row>
    <row r="6" spans="1:7" x14ac:dyDescent="0.35">
      <c r="A6" t="s">
        <v>120</v>
      </c>
      <c r="B6">
        <v>150</v>
      </c>
      <c r="C6">
        <v>0</v>
      </c>
      <c r="D6">
        <v>248</v>
      </c>
      <c r="E6">
        <v>102</v>
      </c>
      <c r="F6">
        <v>0</v>
      </c>
      <c r="G6">
        <v>0</v>
      </c>
    </row>
    <row r="7" spans="1:7" x14ac:dyDescent="0.35">
      <c r="A7" t="s">
        <v>121</v>
      </c>
      <c r="B7">
        <v>150</v>
      </c>
      <c r="C7">
        <v>0</v>
      </c>
      <c r="D7">
        <v>262</v>
      </c>
      <c r="E7">
        <v>138</v>
      </c>
      <c r="F7">
        <v>0</v>
      </c>
      <c r="G7">
        <v>0</v>
      </c>
    </row>
    <row r="8" spans="1:7" x14ac:dyDescent="0.35">
      <c r="A8" t="s">
        <v>122</v>
      </c>
      <c r="B8">
        <v>150</v>
      </c>
      <c r="C8">
        <v>0</v>
      </c>
      <c r="D8">
        <v>168</v>
      </c>
      <c r="E8">
        <v>117</v>
      </c>
      <c r="F8">
        <v>0</v>
      </c>
      <c r="G8">
        <v>0</v>
      </c>
    </row>
    <row r="9" spans="1:7" x14ac:dyDescent="0.35">
      <c r="A9" t="s">
        <v>123</v>
      </c>
      <c r="B9">
        <v>150</v>
      </c>
      <c r="C9">
        <v>0</v>
      </c>
      <c r="D9">
        <v>218</v>
      </c>
      <c r="E9">
        <v>148</v>
      </c>
      <c r="F9">
        <v>0</v>
      </c>
      <c r="G9">
        <v>0</v>
      </c>
    </row>
    <row r="10" spans="1:7" x14ac:dyDescent="0.35">
      <c r="A10" t="s">
        <v>124</v>
      </c>
      <c r="B10">
        <v>150</v>
      </c>
      <c r="C10">
        <v>0</v>
      </c>
      <c r="D10">
        <v>304</v>
      </c>
      <c r="E10">
        <v>190</v>
      </c>
      <c r="F10">
        <v>0</v>
      </c>
      <c r="G10">
        <v>0</v>
      </c>
    </row>
    <row r="11" spans="1:7" x14ac:dyDescent="0.35">
      <c r="A11" t="s">
        <v>125</v>
      </c>
      <c r="B11">
        <v>150</v>
      </c>
      <c r="C11">
        <v>0</v>
      </c>
      <c r="D11">
        <v>355</v>
      </c>
      <c r="E11">
        <v>201</v>
      </c>
      <c r="F11">
        <v>0</v>
      </c>
      <c r="G11">
        <v>0</v>
      </c>
    </row>
    <row r="12" spans="1:7" x14ac:dyDescent="0.35">
      <c r="A12" t="s">
        <v>126</v>
      </c>
      <c r="B12">
        <v>150</v>
      </c>
      <c r="C12">
        <v>0</v>
      </c>
      <c r="D12">
        <v>158</v>
      </c>
      <c r="E12">
        <v>90</v>
      </c>
      <c r="F12">
        <v>0</v>
      </c>
      <c r="G12">
        <v>0</v>
      </c>
    </row>
    <row r="13" spans="1:7" x14ac:dyDescent="0.35">
      <c r="A13" t="s">
        <v>127</v>
      </c>
      <c r="B13">
        <v>150</v>
      </c>
      <c r="C13">
        <v>0</v>
      </c>
      <c r="D13">
        <v>234</v>
      </c>
      <c r="E13">
        <v>198</v>
      </c>
      <c r="F13">
        <v>34</v>
      </c>
      <c r="G13">
        <v>0</v>
      </c>
    </row>
    <row r="14" spans="1:7" x14ac:dyDescent="0.35">
      <c r="A14" t="s">
        <v>128</v>
      </c>
      <c r="B14">
        <v>150</v>
      </c>
      <c r="C14">
        <v>0</v>
      </c>
      <c r="D14">
        <v>229</v>
      </c>
      <c r="E14">
        <v>234</v>
      </c>
      <c r="F14">
        <v>29</v>
      </c>
      <c r="G14">
        <v>0</v>
      </c>
    </row>
    <row r="15" spans="1:7" x14ac:dyDescent="0.35">
      <c r="A15" t="s">
        <v>129</v>
      </c>
      <c r="B15">
        <v>150</v>
      </c>
      <c r="C15">
        <v>0</v>
      </c>
      <c r="D15">
        <v>231</v>
      </c>
      <c r="E15">
        <v>194</v>
      </c>
      <c r="F15">
        <v>46</v>
      </c>
      <c r="G15">
        <v>0</v>
      </c>
    </row>
    <row r="16" spans="1:7" x14ac:dyDescent="0.35">
      <c r="A16" t="s">
        <v>130</v>
      </c>
      <c r="B16">
        <v>150</v>
      </c>
      <c r="C16">
        <v>0</v>
      </c>
      <c r="D16">
        <v>118</v>
      </c>
      <c r="E16">
        <v>133</v>
      </c>
      <c r="F16">
        <v>31</v>
      </c>
      <c r="G16">
        <v>0</v>
      </c>
    </row>
    <row r="17" spans="1:7" x14ac:dyDescent="0.35">
      <c r="A17" t="s">
        <v>131</v>
      </c>
      <c r="B17">
        <v>150</v>
      </c>
      <c r="C17">
        <v>0</v>
      </c>
      <c r="D17">
        <v>253</v>
      </c>
      <c r="E17">
        <v>229</v>
      </c>
      <c r="F17">
        <v>34</v>
      </c>
      <c r="G17">
        <v>0</v>
      </c>
    </row>
    <row r="18" spans="1:7" x14ac:dyDescent="0.35">
      <c r="A18" t="s">
        <v>132</v>
      </c>
      <c r="B18">
        <v>150</v>
      </c>
      <c r="C18">
        <v>0</v>
      </c>
      <c r="D18">
        <v>254</v>
      </c>
      <c r="E18">
        <v>226</v>
      </c>
      <c r="F18">
        <v>34</v>
      </c>
      <c r="G18">
        <v>0</v>
      </c>
    </row>
    <row r="19" spans="1:7" x14ac:dyDescent="0.35">
      <c r="A19" t="s">
        <v>133</v>
      </c>
      <c r="B19">
        <v>150</v>
      </c>
      <c r="C19">
        <v>0</v>
      </c>
      <c r="D19">
        <v>255</v>
      </c>
      <c r="E19">
        <v>228</v>
      </c>
      <c r="F19">
        <v>50</v>
      </c>
      <c r="G19">
        <v>0</v>
      </c>
    </row>
    <row r="20" spans="1:7" x14ac:dyDescent="0.35">
      <c r="A20" t="s">
        <v>134</v>
      </c>
      <c r="B20">
        <v>150</v>
      </c>
      <c r="C20">
        <v>0</v>
      </c>
      <c r="D20">
        <v>118</v>
      </c>
      <c r="E20">
        <v>131</v>
      </c>
      <c r="F20">
        <v>31</v>
      </c>
      <c r="G20">
        <v>0</v>
      </c>
    </row>
    <row r="21" spans="1:7" x14ac:dyDescent="0.35">
      <c r="A21" t="s">
        <v>135</v>
      </c>
      <c r="B21">
        <v>150</v>
      </c>
      <c r="C21">
        <v>0</v>
      </c>
      <c r="D21">
        <v>156</v>
      </c>
      <c r="E21">
        <v>165</v>
      </c>
      <c r="F21">
        <v>31</v>
      </c>
      <c r="G21">
        <v>0</v>
      </c>
    </row>
    <row r="22" spans="1:7" x14ac:dyDescent="0.35">
      <c r="A22" t="s">
        <v>136</v>
      </c>
      <c r="B22">
        <v>150</v>
      </c>
      <c r="C22">
        <v>0</v>
      </c>
      <c r="D22">
        <v>152</v>
      </c>
      <c r="E22">
        <v>96</v>
      </c>
      <c r="F22">
        <v>0</v>
      </c>
      <c r="G22">
        <v>0</v>
      </c>
    </row>
    <row r="23" spans="1:7" x14ac:dyDescent="0.35">
      <c r="A23" t="s">
        <v>137</v>
      </c>
      <c r="B23">
        <v>150</v>
      </c>
      <c r="C23">
        <v>0</v>
      </c>
      <c r="D23">
        <v>100</v>
      </c>
      <c r="E23">
        <v>35</v>
      </c>
      <c r="F23">
        <v>0</v>
      </c>
      <c r="G23">
        <v>0</v>
      </c>
    </row>
    <row r="24" spans="1:7" x14ac:dyDescent="0.35">
      <c r="A24" t="s">
        <v>138</v>
      </c>
      <c r="B24">
        <v>150</v>
      </c>
      <c r="C24">
        <v>0</v>
      </c>
      <c r="D24">
        <v>100</v>
      </c>
      <c r="E24">
        <v>35</v>
      </c>
      <c r="F24">
        <v>0</v>
      </c>
      <c r="G24">
        <v>0</v>
      </c>
    </row>
    <row r="25" spans="1:7" x14ac:dyDescent="0.35">
      <c r="A25" t="s">
        <v>139</v>
      </c>
      <c r="B25">
        <v>150</v>
      </c>
      <c r="C25">
        <v>0</v>
      </c>
      <c r="D25">
        <v>100</v>
      </c>
      <c r="E25">
        <v>35</v>
      </c>
      <c r="F25">
        <v>0</v>
      </c>
      <c r="G25">
        <v>0</v>
      </c>
    </row>
    <row r="26" spans="1:7" x14ac:dyDescent="0.35">
      <c r="A26" t="s">
        <v>140</v>
      </c>
      <c r="B26">
        <v>0</v>
      </c>
      <c r="C26">
        <v>0</v>
      </c>
      <c r="D26">
        <v>100</v>
      </c>
      <c r="E26">
        <v>35</v>
      </c>
      <c r="F26">
        <v>0</v>
      </c>
      <c r="G26">
        <v>0</v>
      </c>
    </row>
    <row r="27" spans="1:7" x14ac:dyDescent="0.35">
      <c r="A27" t="s">
        <v>141</v>
      </c>
      <c r="B27">
        <v>150</v>
      </c>
      <c r="C27">
        <v>0</v>
      </c>
      <c r="D27">
        <v>100</v>
      </c>
      <c r="E27">
        <v>35</v>
      </c>
      <c r="F27">
        <v>0</v>
      </c>
      <c r="G27">
        <v>0</v>
      </c>
    </row>
    <row r="28" spans="1:7" x14ac:dyDescent="0.35">
      <c r="A28" t="s">
        <v>142</v>
      </c>
      <c r="B28">
        <v>150</v>
      </c>
      <c r="C28">
        <v>0</v>
      </c>
      <c r="D28">
        <v>100</v>
      </c>
      <c r="E28">
        <v>35</v>
      </c>
      <c r="F28">
        <v>0</v>
      </c>
      <c r="G28">
        <v>0</v>
      </c>
    </row>
    <row r="29" spans="1:7" x14ac:dyDescent="0.35">
      <c r="A29" t="s">
        <v>143</v>
      </c>
      <c r="B29">
        <v>150</v>
      </c>
      <c r="C29">
        <v>0</v>
      </c>
      <c r="D29">
        <v>100</v>
      </c>
      <c r="E29">
        <v>35</v>
      </c>
      <c r="F29">
        <v>0</v>
      </c>
      <c r="G29">
        <v>0</v>
      </c>
    </row>
    <row r="30" spans="1:7" x14ac:dyDescent="0.35">
      <c r="A30" t="s">
        <v>144</v>
      </c>
      <c r="B30">
        <v>150</v>
      </c>
      <c r="C30">
        <v>0</v>
      </c>
      <c r="D30">
        <v>172</v>
      </c>
      <c r="E30">
        <v>35</v>
      </c>
      <c r="F30">
        <v>0</v>
      </c>
      <c r="G30">
        <v>0</v>
      </c>
    </row>
    <row r="31" spans="1:7" x14ac:dyDescent="0.35">
      <c r="A31" t="s">
        <v>145</v>
      </c>
      <c r="B31">
        <v>150</v>
      </c>
      <c r="C31">
        <v>0</v>
      </c>
      <c r="D31">
        <v>172</v>
      </c>
      <c r="E31">
        <v>35</v>
      </c>
      <c r="F31">
        <v>0</v>
      </c>
      <c r="G31">
        <v>0</v>
      </c>
    </row>
    <row r="32" spans="1:7" x14ac:dyDescent="0.35">
      <c r="A32" t="s">
        <v>146</v>
      </c>
      <c r="B32">
        <v>150</v>
      </c>
      <c r="C32">
        <v>0</v>
      </c>
      <c r="D32">
        <v>172</v>
      </c>
      <c r="E32">
        <v>35</v>
      </c>
      <c r="F32">
        <v>0</v>
      </c>
      <c r="G32">
        <v>0</v>
      </c>
    </row>
    <row r="33" spans="1:7" x14ac:dyDescent="0.35">
      <c r="A33" t="s">
        <v>147</v>
      </c>
      <c r="B33">
        <v>150</v>
      </c>
      <c r="C33">
        <v>0</v>
      </c>
      <c r="D33">
        <v>172</v>
      </c>
      <c r="E33">
        <v>35</v>
      </c>
      <c r="F33">
        <v>0</v>
      </c>
      <c r="G33">
        <v>0</v>
      </c>
    </row>
    <row r="34" spans="1:7" x14ac:dyDescent="0.35">
      <c r="A34" t="s">
        <v>148</v>
      </c>
      <c r="B34">
        <v>150</v>
      </c>
      <c r="C34">
        <v>0</v>
      </c>
      <c r="D34">
        <v>172</v>
      </c>
      <c r="E34">
        <v>35</v>
      </c>
      <c r="F34">
        <v>0</v>
      </c>
      <c r="G34">
        <v>0</v>
      </c>
    </row>
    <row r="35" spans="1:7" x14ac:dyDescent="0.35">
      <c r="A35" t="s">
        <v>149</v>
      </c>
      <c r="B35">
        <v>150</v>
      </c>
      <c r="C35">
        <v>0</v>
      </c>
      <c r="D35">
        <v>144</v>
      </c>
      <c r="E35">
        <v>0</v>
      </c>
      <c r="F35">
        <v>0</v>
      </c>
      <c r="G35">
        <v>0</v>
      </c>
    </row>
    <row r="36" spans="1:7" x14ac:dyDescent="0.35">
      <c r="A36" t="s">
        <v>150</v>
      </c>
      <c r="B36">
        <v>150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35">
      <c r="A37" t="s">
        <v>151</v>
      </c>
      <c r="B37">
        <v>150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35">
      <c r="A38" t="s">
        <v>152</v>
      </c>
      <c r="B38">
        <v>150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35">
      <c r="A39" t="s">
        <v>153</v>
      </c>
      <c r="B39">
        <v>150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35">
      <c r="A40" t="s">
        <v>154</v>
      </c>
      <c r="B40">
        <v>150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35">
      <c r="A41" t="s">
        <v>155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35">
      <c r="A42" t="s">
        <v>156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35">
      <c r="A43" t="s">
        <v>157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35">
      <c r="A44" t="s">
        <v>158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35">
      <c r="A45" t="s">
        <v>159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35">
      <c r="A46" t="s">
        <v>160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35">
      <c r="A47" t="s">
        <v>161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35">
      <c r="A48" t="s">
        <v>162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35">
      <c r="A49" t="s">
        <v>163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35">
      <c r="A50" t="s">
        <v>164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35">
      <c r="A51" t="s">
        <v>165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35">
      <c r="A52" t="s">
        <v>166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35">
      <c r="A53" t="s">
        <v>167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35">
      <c r="A54" t="s">
        <v>168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35">
      <c r="A55" t="s">
        <v>169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35">
      <c r="A56" t="s">
        <v>170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B629F-2A26-4BC4-ABB3-C3E7D86C1BB8}">
  <sheetPr codeName="Blad14"/>
  <dimension ref="A1:H60"/>
  <sheetViews>
    <sheetView workbookViewId="0">
      <selection activeCell="N16" sqref="M16:N17"/>
    </sheetView>
  </sheetViews>
  <sheetFormatPr defaultRowHeight="14.5" x14ac:dyDescent="0.35"/>
  <cols>
    <col min="1" max="2" width="8.7265625" style="35"/>
    <col min="3" max="3" width="6.26953125" style="35" bestFit="1" customWidth="1"/>
    <col min="4" max="4" width="9.36328125" style="35" bestFit="1" customWidth="1"/>
    <col min="5" max="5" width="17.453125" style="35" bestFit="1" customWidth="1"/>
    <col min="6" max="6" width="7.36328125" style="35" customWidth="1"/>
    <col min="7" max="7" width="24" style="35" bestFit="1" customWidth="1"/>
    <col min="8" max="8" width="9.90625" bestFit="1" customWidth="1"/>
  </cols>
  <sheetData>
    <row r="1" spans="1:8" ht="15" thickBot="1" x14ac:dyDescent="0.4">
      <c r="A1" s="199" t="s">
        <v>27</v>
      </c>
      <c r="B1" s="200" t="s">
        <v>76</v>
      </c>
      <c r="C1" s="200" t="s">
        <v>182</v>
      </c>
      <c r="D1" s="200" t="s">
        <v>57</v>
      </c>
      <c r="E1" s="200" t="s">
        <v>39</v>
      </c>
      <c r="F1" s="200" t="s">
        <v>45</v>
      </c>
      <c r="G1" s="200" t="s">
        <v>72</v>
      </c>
      <c r="H1" s="10" t="s">
        <v>104</v>
      </c>
    </row>
    <row r="2" spans="1:8" x14ac:dyDescent="0.35">
      <c r="A2" s="35">
        <v>1</v>
      </c>
      <c r="B2" s="33" t="s">
        <v>74</v>
      </c>
      <c r="C2" s="34" t="s">
        <v>183</v>
      </c>
      <c r="D2" s="33" t="s">
        <v>3</v>
      </c>
      <c r="E2" s="33" t="s">
        <v>40</v>
      </c>
      <c r="F2" s="33" t="s">
        <v>46</v>
      </c>
      <c r="G2" s="201" t="s">
        <v>16</v>
      </c>
      <c r="H2" s="37" t="s">
        <v>26</v>
      </c>
    </row>
    <row r="3" spans="1:8" x14ac:dyDescent="0.35">
      <c r="A3" s="35">
        <v>2</v>
      </c>
      <c r="B3" s="33" t="s">
        <v>184</v>
      </c>
      <c r="C3" s="34" t="s">
        <v>185</v>
      </c>
      <c r="D3" s="33" t="s">
        <v>0</v>
      </c>
      <c r="E3" s="33" t="s">
        <v>47</v>
      </c>
      <c r="F3" s="33" t="s">
        <v>48</v>
      </c>
      <c r="G3" s="201" t="s">
        <v>15</v>
      </c>
      <c r="H3" s="32" t="s">
        <v>25</v>
      </c>
    </row>
    <row r="4" spans="1:8" x14ac:dyDescent="0.35">
      <c r="A4" s="35">
        <v>3</v>
      </c>
      <c r="B4" s="33" t="s">
        <v>186</v>
      </c>
      <c r="C4" s="34" t="s">
        <v>187</v>
      </c>
      <c r="D4" s="33" t="s">
        <v>4</v>
      </c>
      <c r="E4" s="33"/>
      <c r="F4" s="33" t="s">
        <v>42</v>
      </c>
      <c r="G4" s="201" t="s">
        <v>20</v>
      </c>
      <c r="H4" s="32" t="s">
        <v>105</v>
      </c>
    </row>
    <row r="5" spans="1:8" x14ac:dyDescent="0.35">
      <c r="A5" s="35">
        <v>4</v>
      </c>
      <c r="B5" s="33" t="s">
        <v>1</v>
      </c>
      <c r="C5" s="34" t="s">
        <v>188</v>
      </c>
      <c r="D5" s="33"/>
      <c r="E5" s="33"/>
      <c r="F5" s="33" t="s">
        <v>49</v>
      </c>
      <c r="G5" s="201" t="s">
        <v>189</v>
      </c>
      <c r="H5" s="32"/>
    </row>
    <row r="6" spans="1:8" x14ac:dyDescent="0.35">
      <c r="B6" s="33" t="s">
        <v>83</v>
      </c>
      <c r="C6" s="34" t="s">
        <v>190</v>
      </c>
      <c r="D6" s="33"/>
      <c r="E6" s="33"/>
      <c r="F6" s="33" t="s">
        <v>50</v>
      </c>
      <c r="G6" s="201" t="s">
        <v>191</v>
      </c>
      <c r="H6" s="32"/>
    </row>
    <row r="7" spans="1:8" x14ac:dyDescent="0.35">
      <c r="B7" s="33" t="s">
        <v>192</v>
      </c>
      <c r="C7" s="34" t="s">
        <v>193</v>
      </c>
      <c r="D7" s="33"/>
      <c r="E7" s="33"/>
      <c r="F7" s="33" t="s">
        <v>51</v>
      </c>
      <c r="G7" s="201" t="s">
        <v>18</v>
      </c>
      <c r="H7" s="32"/>
    </row>
    <row r="8" spans="1:8" ht="15" customHeight="1" x14ac:dyDescent="0.35">
      <c r="B8" s="33"/>
      <c r="C8" s="34" t="s">
        <v>194</v>
      </c>
      <c r="D8" s="33"/>
      <c r="E8" s="33"/>
      <c r="F8" s="33" t="s">
        <v>52</v>
      </c>
      <c r="G8" s="201" t="s">
        <v>195</v>
      </c>
      <c r="H8" s="32"/>
    </row>
    <row r="9" spans="1:8" x14ac:dyDescent="0.35">
      <c r="B9" s="33"/>
      <c r="C9" s="34" t="s">
        <v>196</v>
      </c>
      <c r="D9" s="33"/>
      <c r="E9" s="33"/>
      <c r="F9" s="33" t="s">
        <v>53</v>
      </c>
      <c r="G9" s="201" t="s">
        <v>197</v>
      </c>
      <c r="H9" s="32"/>
    </row>
    <row r="10" spans="1:8" x14ac:dyDescent="0.35">
      <c r="B10" s="33"/>
      <c r="C10" s="34" t="s">
        <v>198</v>
      </c>
      <c r="D10" s="33"/>
      <c r="E10" s="33"/>
      <c r="F10" s="33"/>
      <c r="G10" s="201" t="s">
        <v>199</v>
      </c>
      <c r="H10" s="32"/>
    </row>
    <row r="11" spans="1:8" x14ac:dyDescent="0.35">
      <c r="B11" s="33"/>
      <c r="C11" s="34" t="s">
        <v>200</v>
      </c>
      <c r="D11" s="33"/>
      <c r="E11" s="33"/>
      <c r="F11" s="33"/>
      <c r="G11" s="201" t="s">
        <v>201</v>
      </c>
      <c r="H11" s="32"/>
    </row>
    <row r="12" spans="1:8" ht="15" customHeight="1" x14ac:dyDescent="0.35">
      <c r="B12" s="33"/>
      <c r="C12" s="34" t="s">
        <v>202</v>
      </c>
      <c r="D12" s="33"/>
      <c r="E12" s="33"/>
      <c r="F12" s="33"/>
      <c r="G12" s="201" t="s">
        <v>203</v>
      </c>
      <c r="H12" s="32"/>
    </row>
    <row r="13" spans="1:8" x14ac:dyDescent="0.35">
      <c r="B13" s="33"/>
      <c r="C13" s="34" t="s">
        <v>204</v>
      </c>
      <c r="D13" s="33"/>
      <c r="E13" s="33"/>
      <c r="F13" s="33"/>
      <c r="G13" s="201" t="s">
        <v>205</v>
      </c>
      <c r="H13" s="32"/>
    </row>
    <row r="14" spans="1:8" x14ac:dyDescent="0.35">
      <c r="C14" s="35">
        <v>1</v>
      </c>
      <c r="G14" s="201" t="s">
        <v>206</v>
      </c>
      <c r="H14" s="11"/>
    </row>
    <row r="15" spans="1:8" x14ac:dyDescent="0.35">
      <c r="C15" s="35">
        <v>2</v>
      </c>
      <c r="G15" s="201" t="s">
        <v>207</v>
      </c>
      <c r="H15" s="32"/>
    </row>
    <row r="16" spans="1:8" ht="15" thickBot="1" x14ac:dyDescent="0.4">
      <c r="C16" s="35">
        <v>3</v>
      </c>
      <c r="G16" s="201" t="s">
        <v>208</v>
      </c>
      <c r="H16" s="36"/>
    </row>
    <row r="17" spans="7:7" x14ac:dyDescent="0.35">
      <c r="G17" s="201" t="s">
        <v>21</v>
      </c>
    </row>
    <row r="18" spans="7:7" x14ac:dyDescent="0.35">
      <c r="G18" s="201" t="s">
        <v>209</v>
      </c>
    </row>
    <row r="19" spans="7:7" x14ac:dyDescent="0.35">
      <c r="G19" s="201" t="s">
        <v>210</v>
      </c>
    </row>
    <row r="20" spans="7:7" x14ac:dyDescent="0.35">
      <c r="G20" s="201" t="s">
        <v>211</v>
      </c>
    </row>
    <row r="21" spans="7:7" x14ac:dyDescent="0.35">
      <c r="G21" s="201" t="s">
        <v>212</v>
      </c>
    </row>
    <row r="22" spans="7:7" x14ac:dyDescent="0.35">
      <c r="G22" s="201" t="s">
        <v>213</v>
      </c>
    </row>
    <row r="23" spans="7:7" x14ac:dyDescent="0.35">
      <c r="G23" s="201" t="s">
        <v>214</v>
      </c>
    </row>
    <row r="24" spans="7:7" x14ac:dyDescent="0.35">
      <c r="G24" s="201" t="s">
        <v>215</v>
      </c>
    </row>
    <row r="25" spans="7:7" x14ac:dyDescent="0.35">
      <c r="G25" s="201" t="s">
        <v>216</v>
      </c>
    </row>
    <row r="26" spans="7:7" x14ac:dyDescent="0.35">
      <c r="G26" s="201" t="s">
        <v>17</v>
      </c>
    </row>
    <row r="27" spans="7:7" x14ac:dyDescent="0.35">
      <c r="G27" s="201" t="s">
        <v>217</v>
      </c>
    </row>
    <row r="28" spans="7:7" x14ac:dyDescent="0.35">
      <c r="G28" s="201" t="s">
        <v>19</v>
      </c>
    </row>
    <row r="29" spans="7:7" x14ac:dyDescent="0.35">
      <c r="G29" s="201" t="s">
        <v>218</v>
      </c>
    </row>
    <row r="30" spans="7:7" x14ac:dyDescent="0.35">
      <c r="G30" s="201" t="s">
        <v>219</v>
      </c>
    </row>
    <row r="31" spans="7:7" x14ac:dyDescent="0.35">
      <c r="G31" s="201" t="s">
        <v>220</v>
      </c>
    </row>
    <row r="32" spans="7:7" x14ac:dyDescent="0.35">
      <c r="G32" s="201" t="s">
        <v>221</v>
      </c>
    </row>
    <row r="33" spans="7:7" x14ac:dyDescent="0.35">
      <c r="G33" s="201" t="s">
        <v>222</v>
      </c>
    </row>
    <row r="34" spans="7:7" x14ac:dyDescent="0.35">
      <c r="G34" s="201" t="s">
        <v>223</v>
      </c>
    </row>
    <row r="35" spans="7:7" x14ac:dyDescent="0.35">
      <c r="G35" s="201" t="s">
        <v>224</v>
      </c>
    </row>
    <row r="36" spans="7:7" x14ac:dyDescent="0.35">
      <c r="G36" s="201" t="s">
        <v>225</v>
      </c>
    </row>
    <row r="37" spans="7:7" x14ac:dyDescent="0.35">
      <c r="G37" s="201" t="s">
        <v>226</v>
      </c>
    </row>
    <row r="38" spans="7:7" x14ac:dyDescent="0.35">
      <c r="G38" s="201" t="s">
        <v>227</v>
      </c>
    </row>
    <row r="39" spans="7:7" x14ac:dyDescent="0.35">
      <c r="G39" s="201" t="s">
        <v>228</v>
      </c>
    </row>
    <row r="40" spans="7:7" x14ac:dyDescent="0.35">
      <c r="G40" s="201" t="s">
        <v>229</v>
      </c>
    </row>
    <row r="41" spans="7:7" x14ac:dyDescent="0.35">
      <c r="G41" s="201" t="s">
        <v>230</v>
      </c>
    </row>
    <row r="42" spans="7:7" x14ac:dyDescent="0.35">
      <c r="G42" s="201" t="s">
        <v>231</v>
      </c>
    </row>
    <row r="43" spans="7:7" x14ac:dyDescent="0.35">
      <c r="G43" s="201" t="s">
        <v>232</v>
      </c>
    </row>
    <row r="44" spans="7:7" x14ac:dyDescent="0.35">
      <c r="G44" s="201" t="s">
        <v>233</v>
      </c>
    </row>
    <row r="45" spans="7:7" x14ac:dyDescent="0.35">
      <c r="G45" s="201" t="s">
        <v>234</v>
      </c>
    </row>
    <row r="46" spans="7:7" x14ac:dyDescent="0.35">
      <c r="G46" s="201" t="s">
        <v>235</v>
      </c>
    </row>
    <row r="47" spans="7:7" x14ac:dyDescent="0.35">
      <c r="G47" s="201" t="s">
        <v>236</v>
      </c>
    </row>
    <row r="48" spans="7:7" x14ac:dyDescent="0.35">
      <c r="G48" s="201" t="s">
        <v>22</v>
      </c>
    </row>
    <row r="49" spans="7:7" x14ac:dyDescent="0.35">
      <c r="G49" s="201" t="s">
        <v>237</v>
      </c>
    </row>
    <row r="50" spans="7:7" x14ac:dyDescent="0.35">
      <c r="G50" s="201" t="s">
        <v>238</v>
      </c>
    </row>
    <row r="51" spans="7:7" x14ac:dyDescent="0.35">
      <c r="G51" s="201" t="s">
        <v>239</v>
      </c>
    </row>
    <row r="52" spans="7:7" x14ac:dyDescent="0.35">
      <c r="G52" s="201" t="s">
        <v>240</v>
      </c>
    </row>
    <row r="53" spans="7:7" x14ac:dyDescent="0.35">
      <c r="G53" s="201" t="s">
        <v>241</v>
      </c>
    </row>
    <row r="54" spans="7:7" x14ac:dyDescent="0.35">
      <c r="G54" s="201" t="s">
        <v>242</v>
      </c>
    </row>
    <row r="55" spans="7:7" x14ac:dyDescent="0.35">
      <c r="G55" s="201" t="s">
        <v>243</v>
      </c>
    </row>
    <row r="56" spans="7:7" x14ac:dyDescent="0.35">
      <c r="G56" s="201" t="s">
        <v>244</v>
      </c>
    </row>
    <row r="57" spans="7:7" x14ac:dyDescent="0.35">
      <c r="G57" s="201" t="s">
        <v>245</v>
      </c>
    </row>
    <row r="58" spans="7:7" x14ac:dyDescent="0.35">
      <c r="G58" s="201" t="s">
        <v>246</v>
      </c>
    </row>
    <row r="59" spans="7:7" x14ac:dyDescent="0.35">
      <c r="G59" s="201" t="s">
        <v>247</v>
      </c>
    </row>
    <row r="60" spans="7:7" x14ac:dyDescent="0.35">
      <c r="G60" s="33" t="s">
        <v>71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2175BF-9A2A-4F7F-9405-F0BAF04EF9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User_Data</vt:lpstr>
      <vt:lpstr>Race-calendar</vt:lpstr>
      <vt:lpstr>ATP_Conditions</vt:lpstr>
      <vt:lpstr>ATP_fill</vt:lpstr>
      <vt:lpstr>ATP_Data</vt:lpstr>
      <vt:lpstr>WLC</vt:lpstr>
      <vt:lpstr>WTL</vt:lpstr>
      <vt:lpstr>Lists</vt:lpstr>
      <vt:lpstr>Sport1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Claude De Vetter</dc:creator>
  <cp:lastModifiedBy>Richard Advocaat</cp:lastModifiedBy>
  <dcterms:created xsi:type="dcterms:W3CDTF">2022-08-29T08:38:25Z</dcterms:created>
  <dcterms:modified xsi:type="dcterms:W3CDTF">2025-09-27T11:12:32Z</dcterms:modified>
</cp:coreProperties>
</file>