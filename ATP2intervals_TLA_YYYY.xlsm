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4F789151-7818-4EBE-8B71-D16E5A22E5D6}" xr6:coauthVersionLast="47" xr6:coauthVersionMax="47" xr10:uidLastSave="{00000000-0000-0000-0000-000000000000}"/>
  <bookViews>
    <workbookView xWindow="-110" yWindow="-110" windowWidth="25820" windowHeight="15500" tabRatio="598" activeTab="8" xr2:uid="{884557D0-AFB0-40F0-AD8C-41969B0104AC}"/>
  </bookViews>
  <sheets>
    <sheet name="User_Data" sheetId="24" r:id="rId1"/>
    <sheet name="ATP_Conditions" sheetId="23" r:id="rId2"/>
    <sheet name="Race_Calendar" sheetId="19" r:id="rId3"/>
    <sheet name="ATP_fill" sheetId="20" r:id="rId4"/>
    <sheet name="ATP_Data" sheetId="26" r:id="rId5"/>
    <sheet name="WLC" sheetId="30" r:id="rId6"/>
    <sheet name="WTL" sheetId="29" r:id="rId7"/>
    <sheet name="Lists" sheetId="25" r:id="rId8"/>
    <sheet name="Races" sheetId="32" r:id="rId9"/>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 i="19" l="1"/>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Q17" i="19"/>
  <c r="R17" i="19"/>
  <c r="S17" i="19"/>
  <c r="T17" i="19"/>
  <c r="Q18" i="19"/>
  <c r="R18" i="19"/>
  <c r="S18" i="19"/>
  <c r="T18" i="19"/>
  <c r="Q19" i="19"/>
  <c r="R19" i="19"/>
  <c r="S19" i="19"/>
  <c r="T19" i="19"/>
  <c r="Q20" i="19"/>
  <c r="R20" i="19"/>
  <c r="S20" i="19"/>
  <c r="T20" i="19"/>
  <c r="Q21" i="19"/>
  <c r="R21" i="19"/>
  <c r="S21" i="19"/>
  <c r="T21" i="19"/>
  <c r="Q22" i="19"/>
  <c r="R22" i="19"/>
  <c r="S22" i="19"/>
  <c r="T22" i="19"/>
  <c r="Q23" i="19"/>
  <c r="R23" i="19"/>
  <c r="S23" i="19"/>
  <c r="T23" i="19"/>
  <c r="Q24" i="19"/>
  <c r="R24" i="19"/>
  <c r="S24" i="19"/>
  <c r="T24" i="19"/>
  <c r="Q25" i="19"/>
  <c r="R25" i="19"/>
  <c r="S25" i="19"/>
  <c r="T25" i="19"/>
  <c r="Q26" i="19"/>
  <c r="R26" i="19"/>
  <c r="S26" i="19"/>
  <c r="T26" i="19"/>
  <c r="Q27" i="19"/>
  <c r="R27" i="19"/>
  <c r="S27" i="19"/>
  <c r="T27" i="19"/>
  <c r="Q28" i="19"/>
  <c r="R28" i="19"/>
  <c r="S28" i="19"/>
  <c r="T28" i="19"/>
  <c r="Q29" i="19"/>
  <c r="R29" i="19"/>
  <c r="S29" i="19"/>
  <c r="T29" i="19"/>
  <c r="Q30" i="19"/>
  <c r="R30" i="19"/>
  <c r="S30" i="19"/>
  <c r="T30" i="19"/>
  <c r="Q31" i="19"/>
  <c r="R31" i="19"/>
  <c r="S31" i="19"/>
  <c r="T31" i="19"/>
  <c r="Q32" i="19"/>
  <c r="R32" i="19"/>
  <c r="S32" i="19"/>
  <c r="T32" i="19"/>
  <c r="Q33" i="19"/>
  <c r="R33" i="19"/>
  <c r="S33" i="19"/>
  <c r="T33" i="19"/>
  <c r="Q34" i="19"/>
  <c r="R34" i="19"/>
  <c r="S34" i="19"/>
  <c r="T34" i="19"/>
  <c r="Q35" i="19"/>
  <c r="R35" i="19"/>
  <c r="S35" i="19"/>
  <c r="T35" i="19"/>
  <c r="Q36" i="19"/>
  <c r="R36" i="19"/>
  <c r="S36" i="19"/>
  <c r="T36" i="19"/>
  <c r="Q37" i="19"/>
  <c r="R37" i="19"/>
  <c r="S37" i="19"/>
  <c r="T37" i="19"/>
  <c r="Q38" i="19"/>
  <c r="R38" i="19"/>
  <c r="S38" i="19"/>
  <c r="T38" i="19"/>
  <c r="Q39" i="19"/>
  <c r="R39" i="19"/>
  <c r="S39" i="19"/>
  <c r="T39" i="19"/>
  <c r="Q40" i="19"/>
  <c r="R40" i="19"/>
  <c r="S40" i="19"/>
  <c r="T40" i="19"/>
  <c r="Q41" i="19"/>
  <c r="R41" i="19"/>
  <c r="S41" i="19"/>
  <c r="T41" i="19"/>
  <c r="Q42" i="19"/>
  <c r="R42" i="19"/>
  <c r="S42" i="19"/>
  <c r="T42" i="19"/>
  <c r="Q43" i="19"/>
  <c r="R43" i="19"/>
  <c r="S43" i="19"/>
  <c r="T43" i="19"/>
  <c r="Q44" i="19"/>
  <c r="R44" i="19"/>
  <c r="S44" i="19"/>
  <c r="T44" i="19"/>
  <c r="Q45" i="19"/>
  <c r="R45" i="19"/>
  <c r="S45" i="19"/>
  <c r="T45" i="19"/>
  <c r="Q46" i="19"/>
  <c r="R46" i="19"/>
  <c r="S46" i="19"/>
  <c r="T46" i="19"/>
  <c r="Q47" i="19"/>
  <c r="R47" i="19"/>
  <c r="S47" i="19"/>
  <c r="T47" i="19"/>
  <c r="Q48" i="19"/>
  <c r="R48" i="19"/>
  <c r="S48" i="19"/>
  <c r="T48" i="19"/>
  <c r="Q49" i="19"/>
  <c r="R49" i="19"/>
  <c r="S49" i="19"/>
  <c r="T49" i="19"/>
  <c r="Q50" i="19"/>
  <c r="R50" i="19"/>
  <c r="S50" i="19"/>
  <c r="T50" i="19"/>
  <c r="Q51" i="19"/>
  <c r="R51" i="19"/>
  <c r="S51" i="19"/>
  <c r="T51" i="19"/>
  <c r="Q52" i="19"/>
  <c r="R52" i="19"/>
  <c r="S52" i="19"/>
  <c r="T52" i="19"/>
  <c r="Q3" i="19"/>
  <c r="R3" i="19"/>
  <c r="S3" i="19"/>
  <c r="T3" i="19"/>
  <c r="Q4" i="19"/>
  <c r="R4" i="19"/>
  <c r="S4" i="19"/>
  <c r="T4" i="19"/>
  <c r="Q5" i="19"/>
  <c r="R5" i="19"/>
  <c r="S5" i="19"/>
  <c r="T5" i="19"/>
  <c r="Q6" i="19"/>
  <c r="R6" i="19"/>
  <c r="S6" i="19"/>
  <c r="T6" i="19"/>
  <c r="Q7" i="19"/>
  <c r="R7" i="19"/>
  <c r="S7" i="19"/>
  <c r="T7" i="19"/>
  <c r="Q8" i="19"/>
  <c r="R8" i="19"/>
  <c r="S8" i="19"/>
  <c r="T8" i="19"/>
  <c r="Q9" i="19"/>
  <c r="R9" i="19"/>
  <c r="S9" i="19"/>
  <c r="T9" i="19"/>
  <c r="Q10" i="19"/>
  <c r="R10" i="19"/>
  <c r="S10" i="19"/>
  <c r="T10" i="19"/>
  <c r="Q11" i="19"/>
  <c r="R11" i="19"/>
  <c r="S11" i="19"/>
  <c r="T11" i="19"/>
  <c r="Q12" i="19"/>
  <c r="R12" i="19"/>
  <c r="S12" i="19"/>
  <c r="T12" i="19"/>
  <c r="Q13" i="19"/>
  <c r="R13" i="19"/>
  <c r="S13" i="19"/>
  <c r="T13" i="19"/>
  <c r="Q14" i="19"/>
  <c r="R14" i="19"/>
  <c r="S14" i="19"/>
  <c r="T14" i="19"/>
  <c r="Q15" i="19"/>
  <c r="R15" i="19"/>
  <c r="S15" i="19"/>
  <c r="T15" i="19"/>
  <c r="Q16" i="19"/>
  <c r="R16" i="19"/>
  <c r="S16" i="19"/>
  <c r="T16" i="19"/>
  <c r="R2" i="19"/>
  <c r="S2" i="19"/>
  <c r="T2" i="19"/>
  <c r="Q2" i="19"/>
  <c r="AO56" i="20"/>
  <c r="AL56" i="20"/>
  <c r="AI56" i="20"/>
  <c r="AF56" i="20"/>
  <c r="AC56" i="20"/>
  <c r="Z56" i="20"/>
  <c r="W56" i="20"/>
  <c r="T55" i="20"/>
  <c r="T56" i="20"/>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3" i="19"/>
  <c r="C5" i="23"/>
  <c r="BD4" i="20"/>
  <c r="Y1" i="26" s="1"/>
  <c r="BE4" i="20"/>
  <c r="Z1" i="26" s="1"/>
  <c r="BF4" i="20"/>
  <c r="AA1" i="26" s="1"/>
  <c r="BG4" i="20"/>
  <c r="AB1" i="26" s="1"/>
  <c r="BH4" i="20"/>
  <c r="AC1" i="26" s="1"/>
  <c r="BI4" i="20"/>
  <c r="AD1" i="26" s="1"/>
  <c r="BC4" i="20"/>
  <c r="X1" i="26" s="1"/>
  <c r="BB4" i="20"/>
  <c r="W1" i="26" s="1"/>
  <c r="N2" i="23"/>
  <c r="K55" i="20"/>
  <c r="K54"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K5" i="20"/>
  <c r="D3" i="23"/>
  <c r="W3" i="26"/>
  <c r="X3" i="26"/>
  <c r="Y3" i="26"/>
  <c r="Z3" i="26"/>
  <c r="AA3" i="26"/>
  <c r="AB3" i="26"/>
  <c r="AC3" i="26"/>
  <c r="AD3" i="26"/>
  <c r="W4" i="26"/>
  <c r="X4" i="26"/>
  <c r="Y4" i="26"/>
  <c r="Z4" i="26"/>
  <c r="AA4" i="26"/>
  <c r="AB4" i="26"/>
  <c r="AC4" i="26"/>
  <c r="AD4" i="26"/>
  <c r="W5" i="26"/>
  <c r="X5" i="26"/>
  <c r="Y5" i="26"/>
  <c r="Z5" i="26"/>
  <c r="AA5" i="26"/>
  <c r="AB5" i="26"/>
  <c r="AC5" i="26"/>
  <c r="AD5" i="26"/>
  <c r="W6" i="26"/>
  <c r="X6" i="26"/>
  <c r="Y6" i="26"/>
  <c r="Z6" i="26"/>
  <c r="AA6" i="26"/>
  <c r="AB6" i="26"/>
  <c r="AC6" i="26"/>
  <c r="AD6" i="26"/>
  <c r="W7" i="26"/>
  <c r="X7" i="26"/>
  <c r="Y7" i="26"/>
  <c r="Z7" i="26"/>
  <c r="AA7" i="26"/>
  <c r="AB7" i="26"/>
  <c r="AC7" i="26"/>
  <c r="AD7" i="26"/>
  <c r="W8" i="26"/>
  <c r="X8" i="26"/>
  <c r="Y8" i="26"/>
  <c r="Z8" i="26"/>
  <c r="AA8" i="26"/>
  <c r="AB8" i="26"/>
  <c r="AC8" i="26"/>
  <c r="AD8" i="26"/>
  <c r="W9" i="26"/>
  <c r="X9" i="26"/>
  <c r="Y9" i="26"/>
  <c r="Z9" i="26"/>
  <c r="AA9" i="26"/>
  <c r="AB9" i="26"/>
  <c r="AC9" i="26"/>
  <c r="AD9" i="26"/>
  <c r="W10" i="26"/>
  <c r="X10" i="26"/>
  <c r="Y10" i="26"/>
  <c r="Z10" i="26"/>
  <c r="AA10" i="26"/>
  <c r="AB10" i="26"/>
  <c r="AC10" i="26"/>
  <c r="AD10" i="26"/>
  <c r="W11" i="26"/>
  <c r="X11" i="26"/>
  <c r="Y11" i="26"/>
  <c r="Z11" i="26"/>
  <c r="AA11" i="26"/>
  <c r="AB11" i="26"/>
  <c r="AC11" i="26"/>
  <c r="AD11" i="26"/>
  <c r="W12" i="26"/>
  <c r="X12" i="26"/>
  <c r="Y12" i="26"/>
  <c r="Z12" i="26"/>
  <c r="AA12" i="26"/>
  <c r="AB12" i="26"/>
  <c r="AC12" i="26"/>
  <c r="AD12" i="26"/>
  <c r="W13" i="26"/>
  <c r="X13" i="26"/>
  <c r="Y13" i="26"/>
  <c r="Z13" i="26"/>
  <c r="AA13" i="26"/>
  <c r="AB13" i="26"/>
  <c r="AC13" i="26"/>
  <c r="AD13" i="26"/>
  <c r="W14" i="26"/>
  <c r="X14" i="26"/>
  <c r="Y14" i="26"/>
  <c r="Z14" i="26"/>
  <c r="AA14" i="26"/>
  <c r="AB14" i="26"/>
  <c r="AC14" i="26"/>
  <c r="AD14" i="26"/>
  <c r="W15" i="26"/>
  <c r="X15" i="26"/>
  <c r="Y15" i="26"/>
  <c r="Z15" i="26"/>
  <c r="AA15" i="26"/>
  <c r="AB15" i="26"/>
  <c r="AC15" i="26"/>
  <c r="AD15" i="26"/>
  <c r="W16" i="26"/>
  <c r="X16" i="26"/>
  <c r="Y16" i="26"/>
  <c r="Z16" i="26"/>
  <c r="AA16" i="26"/>
  <c r="AB16" i="26"/>
  <c r="AC16" i="26"/>
  <c r="AD16" i="26"/>
  <c r="W17" i="26"/>
  <c r="X17" i="26"/>
  <c r="Y17" i="26"/>
  <c r="Z17" i="26"/>
  <c r="AA17" i="26"/>
  <c r="AB17" i="26"/>
  <c r="AC17" i="26"/>
  <c r="AD17" i="26"/>
  <c r="W18" i="26"/>
  <c r="X18" i="26"/>
  <c r="Y18" i="26"/>
  <c r="Z18" i="26"/>
  <c r="AA18" i="26"/>
  <c r="AB18" i="26"/>
  <c r="AC18" i="26"/>
  <c r="AD18" i="26"/>
  <c r="W19" i="26"/>
  <c r="X19" i="26"/>
  <c r="Y19" i="26"/>
  <c r="Z19" i="26"/>
  <c r="AA19" i="26"/>
  <c r="AB19" i="26"/>
  <c r="AC19" i="26"/>
  <c r="AD19" i="26"/>
  <c r="W20" i="26"/>
  <c r="X20" i="26"/>
  <c r="Y20" i="26"/>
  <c r="Z20" i="26"/>
  <c r="AA20" i="26"/>
  <c r="AB20" i="26"/>
  <c r="AC20" i="26"/>
  <c r="AD20" i="26"/>
  <c r="W21" i="26"/>
  <c r="X21" i="26"/>
  <c r="Y21" i="26"/>
  <c r="Z21" i="26"/>
  <c r="AA21" i="26"/>
  <c r="AB21" i="26"/>
  <c r="AC21" i="26"/>
  <c r="AD21" i="26"/>
  <c r="W22" i="26"/>
  <c r="X22" i="26"/>
  <c r="Y22" i="26"/>
  <c r="Z22" i="26"/>
  <c r="AA22" i="26"/>
  <c r="AB22" i="26"/>
  <c r="AC22" i="26"/>
  <c r="AD22" i="26"/>
  <c r="W23" i="26"/>
  <c r="X23" i="26"/>
  <c r="Y23" i="26"/>
  <c r="Z23" i="26"/>
  <c r="AA23" i="26"/>
  <c r="AB23" i="26"/>
  <c r="AC23" i="26"/>
  <c r="AD23" i="26"/>
  <c r="W24" i="26"/>
  <c r="X24" i="26"/>
  <c r="Y24" i="26"/>
  <c r="Z24" i="26"/>
  <c r="AA24" i="26"/>
  <c r="AB24" i="26"/>
  <c r="AC24" i="26"/>
  <c r="AD24" i="26"/>
  <c r="W25" i="26"/>
  <c r="X25" i="26"/>
  <c r="Y25" i="26"/>
  <c r="Z25" i="26"/>
  <c r="AA25" i="26"/>
  <c r="AB25" i="26"/>
  <c r="AC25" i="26"/>
  <c r="AD25" i="26"/>
  <c r="W26" i="26"/>
  <c r="X26" i="26"/>
  <c r="Y26" i="26"/>
  <c r="Z26" i="26"/>
  <c r="AA26" i="26"/>
  <c r="AB26" i="26"/>
  <c r="AC26" i="26"/>
  <c r="AD26" i="26"/>
  <c r="W27" i="26"/>
  <c r="X27" i="26"/>
  <c r="Y27" i="26"/>
  <c r="Z27" i="26"/>
  <c r="AA27" i="26"/>
  <c r="AB27" i="26"/>
  <c r="AC27" i="26"/>
  <c r="AD27" i="26"/>
  <c r="W28" i="26"/>
  <c r="X28" i="26"/>
  <c r="Y28" i="26"/>
  <c r="Z28" i="26"/>
  <c r="AA28" i="26"/>
  <c r="AB28" i="26"/>
  <c r="AC28" i="26"/>
  <c r="AD28" i="26"/>
  <c r="W29" i="26"/>
  <c r="X29" i="26"/>
  <c r="Y29" i="26"/>
  <c r="Z29" i="26"/>
  <c r="AA29" i="26"/>
  <c r="AB29" i="26"/>
  <c r="AC29" i="26"/>
  <c r="AD29" i="26"/>
  <c r="W30" i="26"/>
  <c r="X30" i="26"/>
  <c r="Y30" i="26"/>
  <c r="Z30" i="26"/>
  <c r="AA30" i="26"/>
  <c r="AB30" i="26"/>
  <c r="AC30" i="26"/>
  <c r="AD30" i="26"/>
  <c r="W31" i="26"/>
  <c r="X31" i="26"/>
  <c r="Y31" i="26"/>
  <c r="Z31" i="26"/>
  <c r="AA31" i="26"/>
  <c r="AB31" i="26"/>
  <c r="AC31" i="26"/>
  <c r="AD31" i="26"/>
  <c r="W32" i="26"/>
  <c r="X32" i="26"/>
  <c r="Y32" i="26"/>
  <c r="Z32" i="26"/>
  <c r="AA32" i="26"/>
  <c r="AB32" i="26"/>
  <c r="AC32" i="26"/>
  <c r="AD32" i="26"/>
  <c r="W33" i="26"/>
  <c r="X33" i="26"/>
  <c r="Y33" i="26"/>
  <c r="Z33" i="26"/>
  <c r="AA33" i="26"/>
  <c r="AB33" i="26"/>
  <c r="AC33" i="26"/>
  <c r="AD33" i="26"/>
  <c r="W34" i="26"/>
  <c r="X34" i="26"/>
  <c r="Y34" i="26"/>
  <c r="Z34" i="26"/>
  <c r="AA34" i="26"/>
  <c r="AB34" i="26"/>
  <c r="AC34" i="26"/>
  <c r="AD34" i="26"/>
  <c r="W35" i="26"/>
  <c r="X35" i="26"/>
  <c r="Y35" i="26"/>
  <c r="Z35" i="26"/>
  <c r="AA35" i="26"/>
  <c r="AB35" i="26"/>
  <c r="AC35" i="26"/>
  <c r="AD35" i="26"/>
  <c r="W36" i="26"/>
  <c r="X36" i="26"/>
  <c r="Y36" i="26"/>
  <c r="Z36" i="26"/>
  <c r="AA36" i="26"/>
  <c r="AB36" i="26"/>
  <c r="AC36" i="26"/>
  <c r="AD36" i="26"/>
  <c r="W37" i="26"/>
  <c r="X37" i="26"/>
  <c r="Y37" i="26"/>
  <c r="Z37" i="26"/>
  <c r="AA37" i="26"/>
  <c r="AB37" i="26"/>
  <c r="AC37" i="26"/>
  <c r="AD37" i="26"/>
  <c r="W38" i="26"/>
  <c r="X38" i="26"/>
  <c r="Y38" i="26"/>
  <c r="Z38" i="26"/>
  <c r="AA38" i="26"/>
  <c r="AB38" i="26"/>
  <c r="AC38" i="26"/>
  <c r="AD38" i="26"/>
  <c r="W39" i="26"/>
  <c r="X39" i="26"/>
  <c r="Y39" i="26"/>
  <c r="Z39" i="26"/>
  <c r="AA39" i="26"/>
  <c r="AB39" i="26"/>
  <c r="AC39" i="26"/>
  <c r="AD39" i="26"/>
  <c r="W40" i="26"/>
  <c r="X40" i="26"/>
  <c r="Y40" i="26"/>
  <c r="Z40" i="26"/>
  <c r="AA40" i="26"/>
  <c r="AB40" i="26"/>
  <c r="AC40" i="26"/>
  <c r="AD40" i="26"/>
  <c r="W41" i="26"/>
  <c r="X41" i="26"/>
  <c r="Y41" i="26"/>
  <c r="Z41" i="26"/>
  <c r="AA41" i="26"/>
  <c r="AB41" i="26"/>
  <c r="AC41" i="26"/>
  <c r="AD41" i="26"/>
  <c r="W42" i="26"/>
  <c r="X42" i="26"/>
  <c r="Y42" i="26"/>
  <c r="Z42" i="26"/>
  <c r="AA42" i="26"/>
  <c r="AB42" i="26"/>
  <c r="AC42" i="26"/>
  <c r="AD42" i="26"/>
  <c r="W43" i="26"/>
  <c r="X43" i="26"/>
  <c r="Y43" i="26"/>
  <c r="Z43" i="26"/>
  <c r="AA43" i="26"/>
  <c r="AB43" i="26"/>
  <c r="AC43" i="26"/>
  <c r="AD43" i="26"/>
  <c r="W44" i="26"/>
  <c r="X44" i="26"/>
  <c r="Y44" i="26"/>
  <c r="Z44" i="26"/>
  <c r="AA44" i="26"/>
  <c r="AB44" i="26"/>
  <c r="AC44" i="26"/>
  <c r="AD44" i="26"/>
  <c r="W45" i="26"/>
  <c r="X45" i="26"/>
  <c r="Y45" i="26"/>
  <c r="Z45" i="26"/>
  <c r="AA45" i="26"/>
  <c r="AB45" i="26"/>
  <c r="AC45" i="26"/>
  <c r="AD45" i="26"/>
  <c r="W46" i="26"/>
  <c r="X46" i="26"/>
  <c r="Y46" i="26"/>
  <c r="Z46" i="26"/>
  <c r="AA46" i="26"/>
  <c r="AB46" i="26"/>
  <c r="AC46" i="26"/>
  <c r="AD46" i="26"/>
  <c r="W47" i="26"/>
  <c r="X47" i="26"/>
  <c r="Y47" i="26"/>
  <c r="Z47" i="26"/>
  <c r="AA47" i="26"/>
  <c r="AB47" i="26"/>
  <c r="AC47" i="26"/>
  <c r="AD47" i="26"/>
  <c r="W48" i="26"/>
  <c r="X48" i="26"/>
  <c r="Y48" i="26"/>
  <c r="Z48" i="26"/>
  <c r="AA48" i="26"/>
  <c r="AB48" i="26"/>
  <c r="AC48" i="26"/>
  <c r="AD48" i="26"/>
  <c r="W49" i="26"/>
  <c r="X49" i="26"/>
  <c r="Y49" i="26"/>
  <c r="Z49" i="26"/>
  <c r="AA49" i="26"/>
  <c r="AB49" i="26"/>
  <c r="AC49" i="26"/>
  <c r="AD49" i="26"/>
  <c r="W50" i="26"/>
  <c r="X50" i="26"/>
  <c r="Y50" i="26"/>
  <c r="Z50" i="26"/>
  <c r="AA50" i="26"/>
  <c r="AB50" i="26"/>
  <c r="AC50" i="26"/>
  <c r="AD50" i="26"/>
  <c r="W51" i="26"/>
  <c r="X51" i="26"/>
  <c r="Y51" i="26"/>
  <c r="Z51" i="26"/>
  <c r="AA51" i="26"/>
  <c r="AB51" i="26"/>
  <c r="AC51" i="26"/>
  <c r="AD51" i="26"/>
  <c r="W52" i="26"/>
  <c r="X52" i="26"/>
  <c r="Y52" i="26"/>
  <c r="Z52" i="26"/>
  <c r="AA52" i="26"/>
  <c r="AB52" i="26"/>
  <c r="AC52" i="26"/>
  <c r="AD52" i="26"/>
  <c r="W53" i="26"/>
  <c r="X53" i="26"/>
  <c r="Y53" i="26"/>
  <c r="Z53" i="26"/>
  <c r="AA53" i="26"/>
  <c r="AB53" i="26"/>
  <c r="AC53" i="26"/>
  <c r="AD53" i="26"/>
  <c r="X2" i="26"/>
  <c r="Y2" i="26"/>
  <c r="Z2" i="26"/>
  <c r="AA2" i="26"/>
  <c r="AB2" i="26"/>
  <c r="AC2" i="26"/>
  <c r="AD2" i="26"/>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6" i="20"/>
  <c r="M23" i="23"/>
  <c r="AH4" i="23"/>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B55" i="20" l="1"/>
  <c r="D55" i="20"/>
  <c r="N4" i="23"/>
  <c r="N5" i="23"/>
  <c r="N6" i="23"/>
  <c r="N7" i="23"/>
  <c r="N8" i="23"/>
  <c r="N9" i="23"/>
  <c r="N10" i="23"/>
  <c r="N11" i="23"/>
  <c r="N12" i="23"/>
  <c r="N13" i="23"/>
  <c r="N14" i="23"/>
  <c r="N15" i="23"/>
  <c r="N16" i="23"/>
  <c r="N17" i="23"/>
  <c r="N18" i="23"/>
  <c r="N19" i="23"/>
  <c r="N20" i="23"/>
  <c r="N21" i="23"/>
  <c r="N22" i="23"/>
  <c r="N23" i="23"/>
  <c r="N24" i="23"/>
  <c r="N25" i="23"/>
  <c r="N26" i="23"/>
  <c r="N27" i="23"/>
  <c r="N3" i="23"/>
  <c r="D54" i="20"/>
  <c r="G54" i="20" s="1"/>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5" i="20" l="1"/>
  <c r="E55" i="20"/>
  <c r="I9" i="23"/>
  <c r="AD27" i="23"/>
  <c r="AC27" i="23"/>
  <c r="AB27" i="23"/>
  <c r="F2" i="26"/>
  <c r="F3" i="26"/>
  <c r="F4" i="26"/>
  <c r="F5" i="26"/>
  <c r="F6" i="26"/>
  <c r="F7" i="26"/>
  <c r="F8" i="26"/>
  <c r="F9" i="26"/>
  <c r="F10" i="26"/>
  <c r="W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U1" i="26" s="1"/>
  <c r="AM4" i="20"/>
  <c r="AL4" i="20"/>
  <c r="T1" i="26" s="1"/>
  <c r="AJ4" i="20"/>
  <c r="AI4" i="20"/>
  <c r="S1" i="26" s="1"/>
  <c r="AG4" i="20"/>
  <c r="AF4" i="20"/>
  <c r="R1" i="26" s="1"/>
  <c r="AD4" i="20"/>
  <c r="AD5" i="20" s="1" a="1"/>
  <c r="AD5" i="20" s="1"/>
  <c r="AC5" i="20" s="1"/>
  <c r="AC4" i="20"/>
  <c r="Q1" i="26" s="1"/>
  <c r="AA4" i="20"/>
  <c r="Z4" i="20"/>
  <c r="P1" i="26" s="1"/>
  <c r="X4" i="20"/>
  <c r="W4" i="20"/>
  <c r="O1" i="26" s="1"/>
  <c r="T4" i="20"/>
  <c r="N1" i="26" s="1"/>
  <c r="U4" i="20"/>
  <c r="X5" i="20" l="1" a="1"/>
  <c r="X5" i="20" s="1"/>
  <c r="W5" i="20" s="1"/>
  <c r="X10" i="20" a="1"/>
  <c r="X10" i="20" s="1"/>
  <c r="W10" i="20" s="1"/>
  <c r="X11" i="20" a="1"/>
  <c r="X11" i="20" s="1"/>
  <c r="X12" i="20" a="1"/>
  <c r="X12" i="20" s="1"/>
  <c r="W12" i="20" s="1"/>
  <c r="X13" i="20" a="1"/>
  <c r="X13" i="20" s="1"/>
  <c r="W13" i="20" s="1"/>
  <c r="X14" i="20" a="1"/>
  <c r="X14" i="20" s="1"/>
  <c r="X15" i="20" a="1"/>
  <c r="X15" i="20" s="1"/>
  <c r="W15" i="20" s="1"/>
  <c r="X16" i="20" a="1"/>
  <c r="X16" i="20" s="1"/>
  <c r="W16" i="20" s="1"/>
  <c r="X17" i="20" a="1"/>
  <c r="X17" i="20" s="1"/>
  <c r="W17" i="20" s="1"/>
  <c r="X18" i="20" a="1"/>
  <c r="X18" i="20" s="1"/>
  <c r="W18" i="20" s="1"/>
  <c r="X19" i="20" a="1"/>
  <c r="X19" i="20" s="1"/>
  <c r="W19" i="20" s="1"/>
  <c r="X20" i="20" a="1"/>
  <c r="X20" i="20" s="1"/>
  <c r="W20" i="20" s="1"/>
  <c r="X22" i="20" a="1"/>
  <c r="X22" i="20" s="1"/>
  <c r="W22" i="20" s="1"/>
  <c r="X21" i="20" a="1"/>
  <c r="X21" i="20" s="1"/>
  <c r="W21" i="20" s="1"/>
  <c r="X23" i="20" a="1"/>
  <c r="X23" i="20" s="1"/>
  <c r="W23" i="20" s="1"/>
  <c r="X24" i="20" a="1"/>
  <c r="X24" i="20" s="1"/>
  <c r="W24" i="20" s="1"/>
  <c r="X25" i="20" a="1"/>
  <c r="X25" i="20" s="1"/>
  <c r="W25" i="20" s="1"/>
  <c r="X26" i="20" a="1"/>
  <c r="X26" i="20" s="1"/>
  <c r="W26" i="20" s="1"/>
  <c r="X27" i="20" a="1"/>
  <c r="X27" i="20" s="1"/>
  <c r="W27" i="20" s="1"/>
  <c r="X28" i="20" a="1"/>
  <c r="X28" i="20" s="1"/>
  <c r="W28" i="20" s="1"/>
  <c r="X29" i="20" a="1"/>
  <c r="X29" i="20" s="1"/>
  <c r="W29" i="20" s="1"/>
  <c r="X30" i="20" a="1"/>
  <c r="X30" i="20" s="1"/>
  <c r="W30" i="20" s="1"/>
  <c r="X31" i="20" a="1"/>
  <c r="X31" i="20" s="1"/>
  <c r="W31" i="20" s="1"/>
  <c r="X32" i="20" a="1"/>
  <c r="X32" i="20" s="1"/>
  <c r="W32" i="20" s="1"/>
  <c r="X34" i="20" a="1"/>
  <c r="X34" i="20" s="1"/>
  <c r="W34" i="20" s="1"/>
  <c r="X35" i="20" a="1"/>
  <c r="X35" i="20" s="1"/>
  <c r="W35" i="20" s="1"/>
  <c r="X36" i="20" a="1"/>
  <c r="X36" i="20" s="1"/>
  <c r="W36" i="20" s="1"/>
  <c r="X37" i="20" a="1"/>
  <c r="X37" i="20" s="1"/>
  <c r="W37" i="20" s="1"/>
  <c r="X38" i="20" a="1"/>
  <c r="X38" i="20" s="1"/>
  <c r="W38" i="20" s="1"/>
  <c r="X39" i="20" a="1"/>
  <c r="X39" i="20" s="1"/>
  <c r="W39" i="20" s="1"/>
  <c r="X40" i="20" a="1"/>
  <c r="X40" i="20" s="1"/>
  <c r="W40" i="20" s="1"/>
  <c r="X41" i="20" a="1"/>
  <c r="X41" i="20" s="1"/>
  <c r="W41" i="20" s="1"/>
  <c r="X42" i="20" a="1"/>
  <c r="X42" i="20" s="1"/>
  <c r="W42" i="20" s="1"/>
  <c r="X43" i="20" a="1"/>
  <c r="X43" i="20" s="1"/>
  <c r="W43" i="20" s="1"/>
  <c r="X44" i="20" a="1"/>
  <c r="X44" i="20" s="1"/>
  <c r="W44" i="20" s="1"/>
  <c r="X45" i="20" a="1"/>
  <c r="X45" i="20" s="1"/>
  <c r="W45" i="20" s="1"/>
  <c r="X47" i="20" a="1"/>
  <c r="X47" i="20" s="1"/>
  <c r="W47" i="20" s="1"/>
  <c r="X48" i="20" a="1"/>
  <c r="X48" i="20" s="1"/>
  <c r="W48" i="20" s="1"/>
  <c r="X49" i="20" a="1"/>
  <c r="X49" i="20" s="1"/>
  <c r="W49" i="20" s="1"/>
  <c r="X8" i="20" a="1"/>
  <c r="X8" i="20" s="1"/>
  <c r="X50" i="20" a="1"/>
  <c r="X50" i="20" s="1"/>
  <c r="W50" i="20" s="1"/>
  <c r="X51" i="20" a="1"/>
  <c r="X51" i="20" s="1"/>
  <c r="W51" i="20" s="1"/>
  <c r="X52" i="20" a="1"/>
  <c r="X52" i="20" s="1"/>
  <c r="W52" i="20" s="1"/>
  <c r="X53" i="20" a="1"/>
  <c r="X53" i="20" s="1"/>
  <c r="W53" i="20" s="1"/>
  <c r="X54" i="20" a="1"/>
  <c r="X54" i="20" s="1"/>
  <c r="W54" i="20" s="1"/>
  <c r="X55" i="20" a="1"/>
  <c r="X55" i="20" s="1"/>
  <c r="X46" i="20" a="1"/>
  <c r="X46" i="20" s="1"/>
  <c r="W46" i="20" s="1"/>
  <c r="X6" i="20" a="1"/>
  <c r="X6" i="20" s="1"/>
  <c r="W6" i="20" s="1"/>
  <c r="X7" i="20" a="1"/>
  <c r="X7" i="20" s="1"/>
  <c r="W7" i="20" s="1"/>
  <c r="X33" i="20" a="1"/>
  <c r="X33" i="20" s="1"/>
  <c r="W33" i="20" s="1"/>
  <c r="X9" i="20" a="1"/>
  <c r="X9" i="20" s="1"/>
  <c r="W9" i="20" s="1"/>
  <c r="U6" i="20" a="1"/>
  <c r="U6" i="20" s="1"/>
  <c r="T6" i="20" s="1"/>
  <c r="U7" i="20" a="1"/>
  <c r="U7" i="20" s="1"/>
  <c r="T7" i="20" s="1"/>
  <c r="U8" i="20" a="1"/>
  <c r="U8" i="20" s="1"/>
  <c r="T8" i="20" s="1"/>
  <c r="U9" i="20" a="1"/>
  <c r="U9" i="20" s="1"/>
  <c r="T9" i="20" s="1"/>
  <c r="U10" i="20" a="1"/>
  <c r="U10" i="20" s="1"/>
  <c r="T10" i="20" s="1"/>
  <c r="U11" i="20" a="1"/>
  <c r="U11" i="20" s="1"/>
  <c r="T11" i="20" s="1"/>
  <c r="U12" i="20" a="1"/>
  <c r="U12" i="20" s="1"/>
  <c r="T12" i="20" s="1"/>
  <c r="U13" i="20" a="1"/>
  <c r="U13" i="20" s="1"/>
  <c r="T13" i="20" s="1"/>
  <c r="U14" i="20" a="1"/>
  <c r="U14" i="20" s="1"/>
  <c r="T14" i="20" s="1"/>
  <c r="U15" i="20" a="1"/>
  <c r="U15" i="20" s="1"/>
  <c r="T15" i="20" s="1"/>
  <c r="U16" i="20" a="1"/>
  <c r="U16" i="20" s="1"/>
  <c r="T16" i="20" s="1"/>
  <c r="U17" i="20" a="1"/>
  <c r="U17" i="20" s="1"/>
  <c r="T17" i="20" s="1"/>
  <c r="U19" i="20" a="1"/>
  <c r="U19" i="20" s="1"/>
  <c r="T19" i="20" s="1"/>
  <c r="U20" i="20" a="1"/>
  <c r="U20" i="20" s="1"/>
  <c r="T20" i="20" s="1"/>
  <c r="U21" i="20" a="1"/>
  <c r="U21" i="20" s="1"/>
  <c r="T21" i="20" s="1"/>
  <c r="U22" i="20" a="1"/>
  <c r="U22" i="20" s="1"/>
  <c r="T22" i="20" s="1"/>
  <c r="U23" i="20" a="1"/>
  <c r="U23" i="20" s="1"/>
  <c r="T23" i="20" s="1"/>
  <c r="U24" i="20" a="1"/>
  <c r="U24" i="20" s="1"/>
  <c r="T24" i="20" s="1"/>
  <c r="U25" i="20" a="1"/>
  <c r="U25" i="20" s="1"/>
  <c r="T25" i="20" s="1"/>
  <c r="U26" i="20" a="1"/>
  <c r="U26" i="20" s="1"/>
  <c r="T26" i="20" s="1"/>
  <c r="U27" i="20" a="1"/>
  <c r="U27" i="20" s="1"/>
  <c r="T27" i="20" s="1"/>
  <c r="U28" i="20" a="1"/>
  <c r="U28" i="20" s="1"/>
  <c r="T28" i="20" s="1"/>
  <c r="U29" i="20" a="1"/>
  <c r="U29" i="20" s="1"/>
  <c r="T29" i="20" s="1"/>
  <c r="U30" i="20" a="1"/>
  <c r="U30" i="20" s="1"/>
  <c r="T30" i="20" s="1"/>
  <c r="U31" i="20" a="1"/>
  <c r="U31" i="20" s="1"/>
  <c r="T31" i="20" s="1"/>
  <c r="U32" i="20" a="1"/>
  <c r="U32" i="20" s="1"/>
  <c r="T32" i="20" s="1"/>
  <c r="U33" i="20" a="1"/>
  <c r="U33" i="20" s="1"/>
  <c r="T33" i="20" s="1"/>
  <c r="U34" i="20" a="1"/>
  <c r="U34" i="20" s="1"/>
  <c r="T34" i="20" s="1"/>
  <c r="U35" i="20" a="1"/>
  <c r="U35" i="20" s="1"/>
  <c r="T35" i="20" s="1"/>
  <c r="U36" i="20" a="1"/>
  <c r="U36" i="20" s="1"/>
  <c r="T36" i="20" s="1"/>
  <c r="U37" i="20" a="1"/>
  <c r="U37" i="20" s="1"/>
  <c r="T37" i="20" s="1"/>
  <c r="U38" i="20" a="1"/>
  <c r="U38" i="20" s="1"/>
  <c r="T38" i="20" s="1"/>
  <c r="U39" i="20" a="1"/>
  <c r="U39" i="20" s="1"/>
  <c r="T39" i="20" s="1"/>
  <c r="U40" i="20" a="1"/>
  <c r="U40" i="20" s="1"/>
  <c r="T40" i="20" s="1"/>
  <c r="U41" i="20" a="1"/>
  <c r="U41" i="20" s="1"/>
  <c r="T41" i="20" s="1"/>
  <c r="U42" i="20" a="1"/>
  <c r="U42" i="20" s="1"/>
  <c r="T42" i="20" s="1"/>
  <c r="U43" i="20" a="1"/>
  <c r="U43" i="20" s="1"/>
  <c r="T43" i="20" s="1"/>
  <c r="U45" i="20" a="1"/>
  <c r="U45" i="20" s="1"/>
  <c r="T45" i="20" s="1"/>
  <c r="U46" i="20" a="1"/>
  <c r="U46" i="20" s="1"/>
  <c r="T46" i="20" s="1"/>
  <c r="U47" i="20" a="1"/>
  <c r="U47" i="20" s="1"/>
  <c r="T47" i="20" s="1"/>
  <c r="U48" i="20" a="1"/>
  <c r="U48" i="20" s="1"/>
  <c r="T48" i="20" s="1"/>
  <c r="U49" i="20" a="1"/>
  <c r="U49" i="20" s="1"/>
  <c r="T49" i="20" s="1"/>
  <c r="U50" i="20" a="1"/>
  <c r="U50" i="20" s="1"/>
  <c r="T50" i="20" s="1"/>
  <c r="U51" i="20" a="1"/>
  <c r="U51" i="20" s="1"/>
  <c r="T51" i="20" s="1"/>
  <c r="U52" i="20" a="1"/>
  <c r="U52" i="20" s="1"/>
  <c r="T52" i="20" s="1"/>
  <c r="U53" i="20" a="1"/>
  <c r="U53" i="20" s="1"/>
  <c r="T53" i="20" s="1"/>
  <c r="U44" i="20" a="1"/>
  <c r="U44" i="20" s="1"/>
  <c r="T44" i="20" s="1"/>
  <c r="U54" i="20" a="1"/>
  <c r="U54" i="20" s="1"/>
  <c r="T54" i="20" s="1"/>
  <c r="U5" i="20" a="1"/>
  <c r="U5" i="20" s="1"/>
  <c r="U18" i="20" a="1"/>
  <c r="U18" i="20" s="1"/>
  <c r="T18" i="20" s="1"/>
  <c r="AP55" i="20" a="1"/>
  <c r="AP55" i="20" s="1"/>
  <c r="AO55" i="20" s="1"/>
  <c r="AN55" i="20" s="1"/>
  <c r="AP42" i="20" a="1"/>
  <c r="AP42" i="20" s="1"/>
  <c r="AO42" i="20" s="1"/>
  <c r="AN42" i="20" s="1"/>
  <c r="AP34" i="20" a="1"/>
  <c r="AP34" i="20" s="1"/>
  <c r="AO34" i="20" s="1"/>
  <c r="AN34" i="20" s="1"/>
  <c r="AP29" i="20" a="1"/>
  <c r="AP29" i="20" s="1"/>
  <c r="AO29" i="20" s="1"/>
  <c r="AN29" i="20" s="1"/>
  <c r="AP24" i="20" a="1"/>
  <c r="AP24" i="20" s="1"/>
  <c r="AO24" i="20" s="1"/>
  <c r="AN24" i="20" s="1"/>
  <c r="AP18" i="20" a="1"/>
  <c r="AP18" i="20" s="1"/>
  <c r="AO18" i="20" s="1"/>
  <c r="AP11" i="20" a="1"/>
  <c r="AP11" i="20" s="1"/>
  <c r="AO11" i="20" s="1"/>
  <c r="AP47" i="20" a="1"/>
  <c r="AP47" i="20" s="1"/>
  <c r="AO47" i="20" s="1"/>
  <c r="AN47" i="20" s="1"/>
  <c r="AP44" i="20" a="1"/>
  <c r="AP44" i="20" s="1"/>
  <c r="AO44" i="20" s="1"/>
  <c r="AN44" i="20" s="1"/>
  <c r="AP40" i="20" a="1"/>
  <c r="AP40" i="20" s="1"/>
  <c r="AO40" i="20" s="1"/>
  <c r="AN40" i="20" s="1"/>
  <c r="AP35" i="20" a="1"/>
  <c r="AP35" i="20" s="1"/>
  <c r="AO35" i="20" s="1"/>
  <c r="AN35" i="20" s="1"/>
  <c r="AP31" i="20" a="1"/>
  <c r="AP31" i="20" s="1"/>
  <c r="AO31" i="20" s="1"/>
  <c r="AN31" i="20" s="1"/>
  <c r="AP25" i="20" a="1"/>
  <c r="AP25" i="20" s="1"/>
  <c r="AO25" i="20" s="1"/>
  <c r="AN25" i="20" s="1"/>
  <c r="AP19" i="20" a="1"/>
  <c r="AP19" i="20" s="1"/>
  <c r="AO19" i="20" s="1"/>
  <c r="AP13" i="20" a="1"/>
  <c r="AP13" i="20" s="1"/>
  <c r="AO13" i="20" s="1"/>
  <c r="AP5" i="20" a="1"/>
  <c r="AP5" i="20" s="1"/>
  <c r="AO5" i="20" s="1"/>
  <c r="AP54" i="20" a="1"/>
  <c r="AP54" i="20" s="1"/>
  <c r="AO54" i="20" s="1"/>
  <c r="AN54" i="20" s="1"/>
  <c r="AP51" i="20" a="1"/>
  <c r="AP51" i="20" s="1"/>
  <c r="AO51" i="20" s="1"/>
  <c r="AN51" i="20" s="1"/>
  <c r="AP50" i="20" a="1"/>
  <c r="AP50" i="20" s="1"/>
  <c r="AO50" i="20" s="1"/>
  <c r="AN50" i="20" s="1"/>
  <c r="AP48" i="20" a="1"/>
  <c r="AP48" i="20" s="1"/>
  <c r="AO48" i="20" s="1"/>
  <c r="AN48" i="20" s="1"/>
  <c r="AP46" i="20" a="1"/>
  <c r="AP46" i="20" s="1"/>
  <c r="AO46" i="20" s="1"/>
  <c r="AN46" i="20" s="1"/>
  <c r="AP43" i="20" a="1"/>
  <c r="AP43" i="20" s="1"/>
  <c r="AO43" i="20" s="1"/>
  <c r="AN43" i="20" s="1"/>
  <c r="AP38" i="20" a="1"/>
  <c r="AP38" i="20" s="1"/>
  <c r="AO38" i="20" s="1"/>
  <c r="AN38" i="20" s="1"/>
  <c r="AP33" i="20" a="1"/>
  <c r="AP33" i="20" s="1"/>
  <c r="AO33" i="20" s="1"/>
  <c r="AN33" i="20" s="1"/>
  <c r="AP30" i="20" a="1"/>
  <c r="AP30" i="20" s="1"/>
  <c r="AO30" i="20" s="1"/>
  <c r="AN30" i="20" s="1"/>
  <c r="AP26" i="20" a="1"/>
  <c r="AP26" i="20" s="1"/>
  <c r="AO26" i="20" s="1"/>
  <c r="AN26" i="20" s="1"/>
  <c r="AP23" i="20" a="1"/>
  <c r="AP23" i="20" s="1"/>
  <c r="AO23" i="20" s="1"/>
  <c r="AN23" i="20" s="1"/>
  <c r="AP17" i="20" a="1"/>
  <c r="AP17" i="20" s="1"/>
  <c r="AO17" i="20" s="1"/>
  <c r="AP12" i="20" a="1"/>
  <c r="AP12" i="20" s="1"/>
  <c r="AO12" i="20" s="1"/>
  <c r="AP6" i="20" a="1"/>
  <c r="AP6" i="20" s="1"/>
  <c r="AO6" i="20" s="1"/>
  <c r="AP53" i="20" a="1"/>
  <c r="AP53" i="20" s="1"/>
  <c r="AO53" i="20" s="1"/>
  <c r="AN53" i="20" s="1"/>
  <c r="AP49" i="20" a="1"/>
  <c r="AP49" i="20" s="1"/>
  <c r="AO49" i="20" s="1"/>
  <c r="AN49" i="20" s="1"/>
  <c r="AP45" i="20" a="1"/>
  <c r="AP45" i="20" s="1"/>
  <c r="AO45" i="20" s="1"/>
  <c r="AN45" i="20" s="1"/>
  <c r="AP41" i="20" a="1"/>
  <c r="AP41" i="20" s="1"/>
  <c r="AO41" i="20" s="1"/>
  <c r="AN41" i="20" s="1"/>
  <c r="AP36" i="20" a="1"/>
  <c r="AP36" i="20" s="1"/>
  <c r="AO36" i="20" s="1"/>
  <c r="AN36" i="20" s="1"/>
  <c r="AP32" i="20" a="1"/>
  <c r="AP32" i="20" s="1"/>
  <c r="AO32" i="20" s="1"/>
  <c r="AN32" i="20" s="1"/>
  <c r="AP27" i="20" a="1"/>
  <c r="AP27" i="20" s="1"/>
  <c r="AO27" i="20" s="1"/>
  <c r="AN27" i="20" s="1"/>
  <c r="AP21" i="20" a="1"/>
  <c r="AP21" i="20" s="1"/>
  <c r="AO21" i="20" s="1"/>
  <c r="AP14" i="20" a="1"/>
  <c r="AP14" i="20" s="1"/>
  <c r="AO14" i="20" s="1"/>
  <c r="AP7" i="20" a="1"/>
  <c r="AP7" i="20" s="1"/>
  <c r="AO7" i="20" s="1"/>
  <c r="AP52" i="20" a="1"/>
  <c r="AP52" i="20" s="1"/>
  <c r="AO52" i="20" s="1"/>
  <c r="AN52" i="20" s="1"/>
  <c r="AP28" i="20" a="1"/>
  <c r="AP28" i="20" s="1"/>
  <c r="AO28" i="20" s="1"/>
  <c r="AN28" i="20" s="1"/>
  <c r="AP20" i="20" a="1"/>
  <c r="AP20" i="20" s="1"/>
  <c r="AO20" i="20" s="1"/>
  <c r="AP10" i="20" a="1"/>
  <c r="AP10" i="20" s="1"/>
  <c r="AO10" i="20" s="1"/>
  <c r="AP37" i="20" a="1"/>
  <c r="AP37" i="20" s="1"/>
  <c r="AO37" i="20" s="1"/>
  <c r="AN37" i="20" s="1"/>
  <c r="AP16" i="20" a="1"/>
  <c r="AP16" i="20" s="1"/>
  <c r="AO16" i="20" s="1"/>
  <c r="AP9" i="20" a="1"/>
  <c r="AP9" i="20" s="1"/>
  <c r="AO9" i="20" s="1"/>
  <c r="AP39" i="20" a="1"/>
  <c r="AP39" i="20" s="1"/>
  <c r="AO39" i="20" s="1"/>
  <c r="AN39" i="20" s="1"/>
  <c r="AP22" i="20" a="1"/>
  <c r="AP22" i="20" s="1"/>
  <c r="AO22" i="20" s="1"/>
  <c r="AP15" i="20" a="1"/>
  <c r="AP15" i="20" s="1"/>
  <c r="AO15" i="20" s="1"/>
  <c r="AP8" i="20" a="1"/>
  <c r="AP8" i="20" s="1"/>
  <c r="AO8" i="20" s="1"/>
  <c r="AJ55" i="20" a="1"/>
  <c r="AJ55" i="20" s="1"/>
  <c r="AI55" i="20" s="1"/>
  <c r="AG55" i="20" a="1"/>
  <c r="AG55" i="20" s="1"/>
  <c r="AF55" i="20" s="1"/>
  <c r="AD55" i="20" a="1"/>
  <c r="AD55" i="20" s="1"/>
  <c r="AC55" i="20" s="1"/>
  <c r="AA55" i="20" a="1"/>
  <c r="AA55" i="20" s="1"/>
  <c r="Z55" i="20" s="1"/>
  <c r="AM55" i="20" a="1"/>
  <c r="AM55" i="20" s="1"/>
  <c r="AL55" i="20" s="1"/>
  <c r="AM47" i="20" a="1"/>
  <c r="AM47" i="20" s="1"/>
  <c r="AL47" i="20" s="1"/>
  <c r="AM41" i="20" a="1"/>
  <c r="AM41" i="20" s="1"/>
  <c r="AL41" i="20" s="1"/>
  <c r="AM31" i="20" a="1"/>
  <c r="AM31" i="20" s="1"/>
  <c r="AL31" i="20" s="1"/>
  <c r="AM21" i="20" a="1"/>
  <c r="AM21" i="20" s="1"/>
  <c r="AL21" i="20" s="1"/>
  <c r="AM13" i="20" a="1"/>
  <c r="AM13" i="20" s="1"/>
  <c r="AL13" i="20" s="1"/>
  <c r="AM52" i="20" a="1"/>
  <c r="AM52" i="20" s="1"/>
  <c r="AL52" i="20" s="1"/>
  <c r="AM50" i="20" a="1"/>
  <c r="AM50" i="20" s="1"/>
  <c r="AL50" i="20" s="1"/>
  <c r="AM46" i="20" a="1"/>
  <c r="AM46" i="20" s="1"/>
  <c r="AL46" i="20" s="1"/>
  <c r="AM43" i="20" a="1"/>
  <c r="AM43" i="20" s="1"/>
  <c r="AL43" i="20" s="1"/>
  <c r="AM37" i="20" a="1"/>
  <c r="AM37" i="20" s="1"/>
  <c r="AL37" i="20" s="1"/>
  <c r="AM33" i="20" a="1"/>
  <c r="AM33" i="20" s="1"/>
  <c r="AL33" i="20" s="1"/>
  <c r="AM28" i="20" a="1"/>
  <c r="AM28" i="20" s="1"/>
  <c r="AL28" i="20" s="1"/>
  <c r="AM24" i="20" a="1"/>
  <c r="AM24" i="20" s="1"/>
  <c r="AL24" i="20" s="1"/>
  <c r="AM19" i="20" a="1"/>
  <c r="AM19" i="20" s="1"/>
  <c r="AL19" i="20" s="1"/>
  <c r="AM15" i="20" a="1"/>
  <c r="AM15" i="20" s="1"/>
  <c r="AL15" i="20" s="1"/>
  <c r="AM9" i="20" a="1"/>
  <c r="AM9" i="20" s="1"/>
  <c r="AL9" i="20" s="1"/>
  <c r="AM5" i="20" a="1"/>
  <c r="AM5" i="20" s="1"/>
  <c r="AL5" i="20" s="1"/>
  <c r="AM54" i="20" a="1"/>
  <c r="AM54" i="20" s="1"/>
  <c r="AL54" i="20" s="1"/>
  <c r="AM44" i="20" a="1"/>
  <c r="AM44" i="20" s="1"/>
  <c r="AL44" i="20" s="1"/>
  <c r="AM40" i="20" a="1"/>
  <c r="AM40" i="20" s="1"/>
  <c r="AL40" i="20" s="1"/>
  <c r="AM36" i="20" a="1"/>
  <c r="AM36" i="20" s="1"/>
  <c r="AL36" i="20" s="1"/>
  <c r="AM30" i="20" a="1"/>
  <c r="AM30" i="20" s="1"/>
  <c r="AL30" i="20" s="1"/>
  <c r="AM25" i="20" a="1"/>
  <c r="AM25" i="20" s="1"/>
  <c r="AL25" i="20" s="1"/>
  <c r="AM20" i="20" a="1"/>
  <c r="AM20" i="20" s="1"/>
  <c r="AL20" i="20" s="1"/>
  <c r="AM14" i="20" a="1"/>
  <c r="AM14" i="20" s="1"/>
  <c r="AL14" i="20" s="1"/>
  <c r="AM8" i="20" a="1"/>
  <c r="AM8" i="20" s="1"/>
  <c r="AL8" i="20" s="1"/>
  <c r="AM48" i="20" a="1"/>
  <c r="AM48" i="20" s="1"/>
  <c r="AL48" i="20" s="1"/>
  <c r="AM35" i="20" a="1"/>
  <c r="AM35" i="20" s="1"/>
  <c r="AL35" i="20" s="1"/>
  <c r="AM27" i="20" a="1"/>
  <c r="AM27" i="20" s="1"/>
  <c r="AL27" i="20" s="1"/>
  <c r="AM22" i="20" a="1"/>
  <c r="AM22" i="20" s="1"/>
  <c r="AL22" i="20" s="1"/>
  <c r="AM16" i="20" a="1"/>
  <c r="AM16" i="20" s="1"/>
  <c r="AL16" i="20" s="1"/>
  <c r="AM11" i="20" a="1"/>
  <c r="AM11" i="20" s="1"/>
  <c r="AL11" i="20" s="1"/>
  <c r="AM6" i="20" a="1"/>
  <c r="AM6" i="20" s="1"/>
  <c r="AL6" i="20" s="1"/>
  <c r="AM51" i="20" a="1"/>
  <c r="AM51" i="20" s="1"/>
  <c r="AL51" i="20" s="1"/>
  <c r="AM39" i="20" a="1"/>
  <c r="AM39" i="20" s="1"/>
  <c r="AL39" i="20" s="1"/>
  <c r="AM32" i="20" a="1"/>
  <c r="AM32" i="20" s="1"/>
  <c r="AL32" i="20" s="1"/>
  <c r="AM26" i="20" a="1"/>
  <c r="AM26" i="20" s="1"/>
  <c r="AL26" i="20" s="1"/>
  <c r="AM18" i="20" a="1"/>
  <c r="AM18" i="20" s="1"/>
  <c r="AL18" i="20" s="1"/>
  <c r="AM10" i="20" a="1"/>
  <c r="AM10" i="20" s="1"/>
  <c r="AL10" i="20" s="1"/>
  <c r="AM53" i="20" a="1"/>
  <c r="AM53" i="20" s="1"/>
  <c r="AL53" i="20" s="1"/>
  <c r="AM49" i="20" a="1"/>
  <c r="AM49" i="20" s="1"/>
  <c r="AL49" i="20" s="1"/>
  <c r="AM45" i="20" a="1"/>
  <c r="AM45" i="20" s="1"/>
  <c r="AL45" i="20" s="1"/>
  <c r="AM42" i="20" a="1"/>
  <c r="AM42" i="20" s="1"/>
  <c r="AL42" i="20" s="1"/>
  <c r="AM38" i="20" a="1"/>
  <c r="AM38" i="20" s="1"/>
  <c r="AL38" i="20" s="1"/>
  <c r="AM34" i="20" a="1"/>
  <c r="AM34" i="20" s="1"/>
  <c r="AL34" i="20" s="1"/>
  <c r="AM29" i="20" a="1"/>
  <c r="AM29" i="20" s="1"/>
  <c r="AL29" i="20" s="1"/>
  <c r="AM23" i="20" a="1"/>
  <c r="AM23" i="20" s="1"/>
  <c r="AL23" i="20" s="1"/>
  <c r="AM17" i="20" a="1"/>
  <c r="AM17" i="20" s="1"/>
  <c r="AL17" i="20" s="1"/>
  <c r="AM12" i="20" a="1"/>
  <c r="AM12" i="20" s="1"/>
  <c r="AL12" i="20" s="1"/>
  <c r="AM7" i="20" a="1"/>
  <c r="AM7" i="20" s="1"/>
  <c r="AL7" i="20" s="1"/>
  <c r="AJ54" i="20" a="1"/>
  <c r="AJ54" i="20" s="1"/>
  <c r="AI54" i="20" s="1"/>
  <c r="AJ52" i="20" a="1"/>
  <c r="AJ52" i="20" s="1"/>
  <c r="AI52" i="20" s="1"/>
  <c r="AJ51" i="20" a="1"/>
  <c r="AJ51" i="20" s="1"/>
  <c r="AI51" i="20" s="1"/>
  <c r="AJ49" i="20" a="1"/>
  <c r="AJ49" i="20" s="1"/>
  <c r="AI49" i="20" s="1"/>
  <c r="AJ48" i="20" a="1"/>
  <c r="AJ48" i="20" s="1"/>
  <c r="AI48" i="20" s="1"/>
  <c r="AJ43" i="20" a="1"/>
  <c r="AJ43" i="20" s="1"/>
  <c r="AI43" i="20" s="1"/>
  <c r="AJ38" i="20" a="1"/>
  <c r="AJ38" i="20" s="1"/>
  <c r="AI38" i="20" s="1"/>
  <c r="AJ34" i="20" a="1"/>
  <c r="AJ34" i="20" s="1"/>
  <c r="AI34" i="20" s="1"/>
  <c r="AJ30" i="20" a="1"/>
  <c r="AJ30" i="20" s="1"/>
  <c r="AI30" i="20" s="1"/>
  <c r="AJ28" i="20" a="1"/>
  <c r="AJ28" i="20" s="1"/>
  <c r="AI28" i="20" s="1"/>
  <c r="AJ25" i="20" a="1"/>
  <c r="AJ25" i="20" s="1"/>
  <c r="AI25" i="20" s="1"/>
  <c r="AJ17" i="20" a="1"/>
  <c r="AJ17" i="20" s="1"/>
  <c r="AI17" i="20" s="1"/>
  <c r="AJ11" i="20" a="1"/>
  <c r="AJ11" i="20" s="1"/>
  <c r="AI11" i="20" s="1"/>
  <c r="AJ9" i="20" a="1"/>
  <c r="AJ9" i="20" s="1"/>
  <c r="AI9" i="20" s="1"/>
  <c r="AJ21" i="20" a="1"/>
  <c r="AJ21" i="20" s="1"/>
  <c r="AI21" i="20" s="1"/>
  <c r="AJ8" i="20" a="1"/>
  <c r="AJ8" i="20" s="1"/>
  <c r="AI8" i="20" s="1"/>
  <c r="AJ27" i="20" a="1"/>
  <c r="AJ27" i="20" s="1"/>
  <c r="AI27" i="20" s="1"/>
  <c r="AJ39" i="20" a="1"/>
  <c r="AJ39" i="20" s="1"/>
  <c r="AI39" i="20" s="1"/>
  <c r="AJ46" i="20" a="1"/>
  <c r="AJ46" i="20" s="1"/>
  <c r="AI46" i="20" s="1"/>
  <c r="AJ53" i="20" a="1"/>
  <c r="AJ53" i="20" s="1"/>
  <c r="AI53" i="20" s="1"/>
  <c r="AJ19" i="20" a="1"/>
  <c r="AJ19" i="20" s="1"/>
  <c r="AI19" i="20" s="1"/>
  <c r="AJ16" i="20" a="1"/>
  <c r="AJ16" i="20" s="1"/>
  <c r="AI16" i="20" s="1"/>
  <c r="AJ14" i="20" a="1"/>
  <c r="AJ14" i="20" s="1"/>
  <c r="AI14" i="20" s="1"/>
  <c r="AJ50" i="20" a="1"/>
  <c r="AJ50" i="20" s="1"/>
  <c r="AI50" i="20" s="1"/>
  <c r="AJ24" i="20" a="1"/>
  <c r="AJ24" i="20" s="1"/>
  <c r="AI24" i="20" s="1"/>
  <c r="AJ33" i="20" a="1"/>
  <c r="AJ33" i="20" s="1"/>
  <c r="AI33" i="20" s="1"/>
  <c r="AJ37" i="20" a="1"/>
  <c r="AJ37" i="20" s="1"/>
  <c r="AI37" i="20" s="1"/>
  <c r="AJ40" i="20" a="1"/>
  <c r="AJ40" i="20" s="1"/>
  <c r="AI40" i="20" s="1"/>
  <c r="AJ47" i="20" a="1"/>
  <c r="AJ47" i="20" s="1"/>
  <c r="AI47" i="20" s="1"/>
  <c r="AJ31" i="20" a="1"/>
  <c r="AJ31" i="20" s="1"/>
  <c r="AI31" i="20" s="1"/>
  <c r="AJ26" i="20" a="1"/>
  <c r="AJ26" i="20" s="1"/>
  <c r="AI26" i="20" s="1"/>
  <c r="AJ6" i="20" a="1"/>
  <c r="AJ6" i="20" s="1"/>
  <c r="AI6" i="20" s="1"/>
  <c r="AJ18" i="20" a="1"/>
  <c r="AJ18" i="20" s="1"/>
  <c r="AI18" i="20" s="1"/>
  <c r="AJ20" i="20" a="1"/>
  <c r="AJ20" i="20" s="1"/>
  <c r="AI20" i="20" s="1"/>
  <c r="AJ23" i="20" a="1"/>
  <c r="AJ23" i="20" s="1"/>
  <c r="AI23" i="20" s="1"/>
  <c r="AJ29" i="20" a="1"/>
  <c r="AJ29" i="20" s="1"/>
  <c r="AI29" i="20" s="1"/>
  <c r="AJ32" i="20" a="1"/>
  <c r="AJ32" i="20" s="1"/>
  <c r="AI32" i="20" s="1"/>
  <c r="AJ35" i="20" a="1"/>
  <c r="AJ35" i="20" s="1"/>
  <c r="AI35" i="20" s="1"/>
  <c r="AJ42" i="20" a="1"/>
  <c r="AJ42" i="20" s="1"/>
  <c r="AI42" i="20" s="1"/>
  <c r="AJ45" i="20" a="1"/>
  <c r="AJ45" i="20" s="1"/>
  <c r="AI45" i="20" s="1"/>
  <c r="AJ7" i="20" a="1"/>
  <c r="AJ7" i="20" s="1"/>
  <c r="AI7" i="20" s="1"/>
  <c r="AJ10" i="20" a="1"/>
  <c r="AJ10" i="20" s="1"/>
  <c r="AI10" i="20" s="1"/>
  <c r="AJ12" i="20" a="1"/>
  <c r="AJ12" i="20" s="1"/>
  <c r="AI12" i="20" s="1"/>
  <c r="AJ15" i="20" a="1"/>
  <c r="AJ15" i="20" s="1"/>
  <c r="AI15" i="20" s="1"/>
  <c r="AJ36" i="20" a="1"/>
  <c r="AJ36" i="20" s="1"/>
  <c r="AI36" i="20" s="1"/>
  <c r="AJ41" i="20" a="1"/>
  <c r="AJ41" i="20" s="1"/>
  <c r="AI41" i="20" s="1"/>
  <c r="AJ44" i="20" a="1"/>
  <c r="AJ44" i="20" s="1"/>
  <c r="AI44" i="20" s="1"/>
  <c r="AJ22" i="20" a="1"/>
  <c r="AJ22" i="20" s="1"/>
  <c r="AI22" i="20" s="1"/>
  <c r="AJ13" i="20" a="1"/>
  <c r="AJ13" i="20" s="1"/>
  <c r="AI13" i="20" s="1"/>
  <c r="AJ5" i="20" a="1"/>
  <c r="AJ5" i="20" s="1"/>
  <c r="AI5" i="20" s="1"/>
  <c r="AG33" i="20" a="1"/>
  <c r="AG33" i="20" s="1"/>
  <c r="AF33" i="20" s="1"/>
  <c r="AG31" i="20" a="1"/>
  <c r="AG31" i="20" s="1"/>
  <c r="AF31" i="20" s="1"/>
  <c r="AG27" i="20" a="1"/>
  <c r="AG27" i="20" s="1"/>
  <c r="AF27" i="20" s="1"/>
  <c r="AG26" i="20" a="1"/>
  <c r="AG26" i="20" s="1"/>
  <c r="AF26" i="20" s="1"/>
  <c r="AG19" i="20" a="1"/>
  <c r="AG19" i="20" s="1"/>
  <c r="AF19" i="20" s="1"/>
  <c r="AG16" i="20" a="1"/>
  <c r="AG16" i="20" s="1"/>
  <c r="AF16" i="20" s="1"/>
  <c r="AG10" i="20" a="1"/>
  <c r="AG10" i="20" s="1"/>
  <c r="AF10" i="20" s="1"/>
  <c r="AG7" i="20" a="1"/>
  <c r="AG7" i="20" s="1"/>
  <c r="AF7" i="20" s="1"/>
  <c r="AG5" i="20" a="1"/>
  <c r="AG5" i="20" s="1"/>
  <c r="AF5" i="20" s="1"/>
  <c r="AG9" i="20" a="1"/>
  <c r="AG9" i="20" s="1"/>
  <c r="AF9" i="20" s="1"/>
  <c r="AG14" i="20" a="1"/>
  <c r="AG14" i="20" s="1"/>
  <c r="AF14" i="20" s="1"/>
  <c r="AG17" i="20" a="1"/>
  <c r="AG17" i="20" s="1"/>
  <c r="AF17" i="20" s="1"/>
  <c r="AG22" i="20" a="1"/>
  <c r="AG22" i="20" s="1"/>
  <c r="AF22" i="20" s="1"/>
  <c r="AG32" i="20" a="1"/>
  <c r="AG32" i="20" s="1"/>
  <c r="AF32" i="20" s="1"/>
  <c r="AG37" i="20" a="1"/>
  <c r="AG37" i="20" s="1"/>
  <c r="AF37" i="20" s="1"/>
  <c r="AG43" i="20" a="1"/>
  <c r="AG43" i="20" s="1"/>
  <c r="AF43" i="20" s="1"/>
  <c r="AG48" i="20" a="1"/>
  <c r="AG48" i="20" s="1"/>
  <c r="AF48" i="20" s="1"/>
  <c r="AG35" i="20" a="1"/>
  <c r="AG35" i="20" s="1"/>
  <c r="AF35" i="20" s="1"/>
  <c r="AG12" i="20" a="1"/>
  <c r="AG12" i="20" s="1"/>
  <c r="AF12" i="20" s="1"/>
  <c r="AG20" i="20" a="1"/>
  <c r="AG20" i="20" s="1"/>
  <c r="AF20" i="20" s="1"/>
  <c r="AG23" i="20" a="1"/>
  <c r="AG23" i="20" s="1"/>
  <c r="AF23" i="20" s="1"/>
  <c r="AG25" i="20" a="1"/>
  <c r="AG25" i="20" s="1"/>
  <c r="AF25" i="20" s="1"/>
  <c r="AG30" i="20" a="1"/>
  <c r="AG30" i="20" s="1"/>
  <c r="AF30" i="20" s="1"/>
  <c r="AG36" i="20" a="1"/>
  <c r="AG36" i="20" s="1"/>
  <c r="AF36" i="20" s="1"/>
  <c r="AG42" i="20" a="1"/>
  <c r="AG42" i="20" s="1"/>
  <c r="AF42" i="20" s="1"/>
  <c r="AG46" i="20" a="1"/>
  <c r="AG46" i="20" s="1"/>
  <c r="AF46" i="20" s="1"/>
  <c r="AG52" i="20" a="1"/>
  <c r="AG52" i="20" s="1"/>
  <c r="AF52" i="20" s="1"/>
  <c r="AG53" i="20" a="1"/>
  <c r="AG53" i="20" s="1"/>
  <c r="AF53" i="20" s="1"/>
  <c r="AG50" i="20" a="1"/>
  <c r="AG50" i="20" s="1"/>
  <c r="AF50" i="20" s="1"/>
  <c r="AG47" i="20" a="1"/>
  <c r="AG47" i="20" s="1"/>
  <c r="AF47" i="20" s="1"/>
  <c r="AG34" i="20" a="1"/>
  <c r="AG34" i="20" s="1"/>
  <c r="AF34" i="20" s="1"/>
  <c r="AG29" i="20" a="1"/>
  <c r="AG29" i="20" s="1"/>
  <c r="AF29" i="20" s="1"/>
  <c r="AG24" i="20" a="1"/>
  <c r="AG24" i="20" s="1"/>
  <c r="AF24" i="20" s="1"/>
  <c r="AG21" i="20" a="1"/>
  <c r="AG21" i="20" s="1"/>
  <c r="AF21" i="20" s="1"/>
  <c r="AG15" i="20" a="1"/>
  <c r="AG15" i="20" s="1"/>
  <c r="AF15" i="20" s="1"/>
  <c r="AG11" i="20" a="1"/>
  <c r="AG11" i="20" s="1"/>
  <c r="AF11" i="20" s="1"/>
  <c r="AG6" i="20" a="1"/>
  <c r="AG6" i="20" s="1"/>
  <c r="AF6" i="20" s="1"/>
  <c r="AG54" i="20" a="1"/>
  <c r="AG54" i="20" s="1"/>
  <c r="AF54" i="20" s="1"/>
  <c r="AG51" i="20" a="1"/>
  <c r="AG51" i="20" s="1"/>
  <c r="AF51" i="20" s="1"/>
  <c r="AG49" i="20" a="1"/>
  <c r="AG49" i="20" s="1"/>
  <c r="AF49" i="20" s="1"/>
  <c r="AG45" i="20" a="1"/>
  <c r="AG45" i="20" s="1"/>
  <c r="AF45" i="20" s="1"/>
  <c r="AG40" i="20" a="1"/>
  <c r="AG40" i="20" s="1"/>
  <c r="AF40" i="20" s="1"/>
  <c r="AG39" i="20" a="1"/>
  <c r="AG39" i="20" s="1"/>
  <c r="AF39" i="20" s="1"/>
  <c r="AG44" i="20" a="1"/>
  <c r="AG44" i="20" s="1"/>
  <c r="AF44" i="20" s="1"/>
  <c r="AG41" i="20" a="1"/>
  <c r="AG41" i="20" s="1"/>
  <c r="AF41" i="20" s="1"/>
  <c r="AG38" i="20" a="1"/>
  <c r="AG38" i="20" s="1"/>
  <c r="AF38" i="20" s="1"/>
  <c r="AG28" i="20" a="1"/>
  <c r="AG28" i="20" s="1"/>
  <c r="AF28" i="20" s="1"/>
  <c r="AG18" i="20" a="1"/>
  <c r="AG18" i="20" s="1"/>
  <c r="AF18" i="20" s="1"/>
  <c r="AG13" i="20" a="1"/>
  <c r="AG13" i="20" s="1"/>
  <c r="AF13" i="20" s="1"/>
  <c r="AG8" i="20" a="1"/>
  <c r="AG8" i="20" s="1"/>
  <c r="AF8" i="20" s="1"/>
  <c r="AD45" i="20" a="1"/>
  <c r="AD45" i="20" s="1"/>
  <c r="AC45" i="20" s="1"/>
  <c r="AD43" i="20" a="1"/>
  <c r="AD43" i="20" s="1"/>
  <c r="AC43" i="20" s="1"/>
  <c r="AD38" i="20" a="1"/>
  <c r="AD38" i="20" s="1"/>
  <c r="AC38" i="20" s="1"/>
  <c r="AD35" i="20" a="1"/>
  <c r="AD35" i="20" s="1"/>
  <c r="AC35" i="20" s="1"/>
  <c r="AD31" i="20" a="1"/>
  <c r="AD31" i="20" s="1"/>
  <c r="AC31" i="20" s="1"/>
  <c r="AD27" i="20" a="1"/>
  <c r="AD27" i="20" s="1"/>
  <c r="AC27" i="20" s="1"/>
  <c r="AD24" i="20" a="1"/>
  <c r="AD24" i="20" s="1"/>
  <c r="AC24" i="20" s="1"/>
  <c r="AD12" i="20" a="1"/>
  <c r="AD12" i="20" s="1"/>
  <c r="AC12" i="20" s="1"/>
  <c r="AD8" i="20" a="1"/>
  <c r="AD8" i="20" s="1"/>
  <c r="AC8" i="20" s="1"/>
  <c r="AD6" i="20" a="1"/>
  <c r="AD6" i="20" s="1"/>
  <c r="AC6" i="20" s="1"/>
  <c r="AD17" i="20" a="1"/>
  <c r="AD17" i="20" s="1"/>
  <c r="AC17" i="20" s="1"/>
  <c r="AD20" i="20" a="1"/>
  <c r="AD20" i="20" s="1"/>
  <c r="AC20" i="20" s="1"/>
  <c r="AD23" i="20" a="1"/>
  <c r="AD23" i="20" s="1"/>
  <c r="AC23" i="20" s="1"/>
  <c r="AD9" i="20" a="1"/>
  <c r="AD9" i="20" s="1"/>
  <c r="AC9" i="20" s="1"/>
  <c r="AD26" i="20" a="1"/>
  <c r="AD26" i="20" s="1"/>
  <c r="AC26" i="20" s="1"/>
  <c r="AD34" i="20" a="1"/>
  <c r="AD34" i="20" s="1"/>
  <c r="AC34" i="20" s="1"/>
  <c r="AD42" i="20" a="1"/>
  <c r="AD42" i="20" s="1"/>
  <c r="AC42" i="20" s="1"/>
  <c r="AD44" i="20" a="1"/>
  <c r="AD44" i="20" s="1"/>
  <c r="AC44" i="20" s="1"/>
  <c r="AD46" i="20" a="1"/>
  <c r="AD46" i="20" s="1"/>
  <c r="AC46" i="20" s="1"/>
  <c r="AD50" i="20" a="1"/>
  <c r="AD50" i="20" s="1"/>
  <c r="AC50" i="20" s="1"/>
  <c r="AD52" i="20" a="1"/>
  <c r="AD52" i="20" s="1"/>
  <c r="AC52" i="20" s="1"/>
  <c r="AD54" i="20" a="1"/>
  <c r="AD54" i="20" s="1"/>
  <c r="AC54" i="20" s="1"/>
  <c r="AD13" i="20" a="1"/>
  <c r="AD13" i="20" s="1"/>
  <c r="AC13" i="20" s="1"/>
  <c r="AD14" i="20" a="1"/>
  <c r="AD14" i="20" s="1"/>
  <c r="AC14" i="20" s="1"/>
  <c r="AD49" i="20" a="1"/>
  <c r="AD49" i="20" s="1"/>
  <c r="AC49" i="20" s="1"/>
  <c r="AD15" i="20" a="1"/>
  <c r="AD15" i="20" s="1"/>
  <c r="AC15" i="20" s="1"/>
  <c r="AD21" i="20" a="1"/>
  <c r="AD21" i="20" s="1"/>
  <c r="AC21" i="20" s="1"/>
  <c r="AD25" i="20" a="1"/>
  <c r="AD25" i="20" s="1"/>
  <c r="AC25" i="20" s="1"/>
  <c r="AD30" i="20" a="1"/>
  <c r="AD30" i="20" s="1"/>
  <c r="AC30" i="20" s="1"/>
  <c r="AD33" i="20" a="1"/>
  <c r="AD33" i="20" s="1"/>
  <c r="AC33" i="20" s="1"/>
  <c r="AD40" i="20" a="1"/>
  <c r="AD40" i="20" s="1"/>
  <c r="AC40" i="20" s="1"/>
  <c r="AD48" i="20" a="1"/>
  <c r="AD48" i="20" s="1"/>
  <c r="AC48" i="20" s="1"/>
  <c r="AD47" i="20" a="1"/>
  <c r="AD47" i="20" s="1"/>
  <c r="AC47" i="20" s="1"/>
  <c r="AD39" i="20" a="1"/>
  <c r="AD39" i="20" s="1"/>
  <c r="AC39" i="20" s="1"/>
  <c r="AD36" i="20" a="1"/>
  <c r="AD36" i="20" s="1"/>
  <c r="AC36" i="20" s="1"/>
  <c r="AD29" i="20" a="1"/>
  <c r="AD29" i="20" s="1"/>
  <c r="AC29" i="20" s="1"/>
  <c r="AD22" i="20" a="1"/>
  <c r="AD22" i="20" s="1"/>
  <c r="AC22" i="20" s="1"/>
  <c r="AD18" i="20" a="1"/>
  <c r="AD18" i="20" s="1"/>
  <c r="AC18" i="20" s="1"/>
  <c r="AD16" i="20" a="1"/>
  <c r="AD16" i="20" s="1"/>
  <c r="AC16" i="20" s="1"/>
  <c r="AD7" i="20" a="1"/>
  <c r="AD7" i="20" s="1"/>
  <c r="AC7" i="20" s="1"/>
  <c r="AD53" i="20" a="1"/>
  <c r="AD53" i="20" s="1"/>
  <c r="AC53" i="20" s="1"/>
  <c r="AD51" i="20" a="1"/>
  <c r="AD51" i="20" s="1"/>
  <c r="AC51" i="20" s="1"/>
  <c r="AD41" i="20" a="1"/>
  <c r="AD41" i="20" s="1"/>
  <c r="AC41" i="20" s="1"/>
  <c r="AD37" i="20" a="1"/>
  <c r="AD37" i="20" s="1"/>
  <c r="AC37" i="20" s="1"/>
  <c r="AD32" i="20" a="1"/>
  <c r="AD32" i="20" s="1"/>
  <c r="AC32" i="20" s="1"/>
  <c r="AD28" i="20" a="1"/>
  <c r="AD28" i="20" s="1"/>
  <c r="AC28" i="20" s="1"/>
  <c r="AD19" i="20" a="1"/>
  <c r="AD19" i="20" s="1"/>
  <c r="AC19" i="20" s="1"/>
  <c r="AD11" i="20" a="1"/>
  <c r="AD11" i="20" s="1"/>
  <c r="AC11" i="20" s="1"/>
  <c r="AD10" i="20" a="1"/>
  <c r="AD10" i="20" s="1"/>
  <c r="AC10" i="20" s="1"/>
  <c r="AA43" i="20" a="1"/>
  <c r="AA43" i="20" s="1"/>
  <c r="Z43" i="20" s="1"/>
  <c r="AA54" i="20" a="1"/>
  <c r="AA54" i="20" s="1"/>
  <c r="Z54" i="20" s="1"/>
  <c r="AA48" i="20" a="1"/>
  <c r="AA48" i="20" s="1"/>
  <c r="Z48" i="20" s="1"/>
  <c r="AA41" i="20" a="1"/>
  <c r="AA41" i="20" s="1"/>
  <c r="Z41" i="20" s="1"/>
  <c r="AA39" i="20" a="1"/>
  <c r="AA39" i="20" s="1"/>
  <c r="Z39" i="20" s="1"/>
  <c r="AA31" i="20" a="1"/>
  <c r="AA31" i="20" s="1"/>
  <c r="Z31" i="20" s="1"/>
  <c r="AA27" i="20" a="1"/>
  <c r="AA27" i="20" s="1"/>
  <c r="Z27" i="20" s="1"/>
  <c r="AA23" i="20" a="1"/>
  <c r="AA23" i="20" s="1"/>
  <c r="Z23" i="20" s="1"/>
  <c r="AA17" i="20" a="1"/>
  <c r="AA17" i="20" s="1"/>
  <c r="Z17" i="20" s="1"/>
  <c r="AA11" i="20" a="1"/>
  <c r="AA11" i="20" s="1"/>
  <c r="Z11" i="20" s="1"/>
  <c r="AA8" i="20" a="1"/>
  <c r="AA8" i="20" s="1"/>
  <c r="Z8" i="20" s="1"/>
  <c r="AA46" i="20" a="1"/>
  <c r="AA46" i="20" s="1"/>
  <c r="Z46" i="20" s="1"/>
  <c r="AA38" i="20" a="1"/>
  <c r="AA38" i="20" s="1"/>
  <c r="Z38" i="20" s="1"/>
  <c r="AA33" i="20" a="1"/>
  <c r="AA33" i="20" s="1"/>
  <c r="Z33" i="20" s="1"/>
  <c r="AA30" i="20" a="1"/>
  <c r="AA30" i="20" s="1"/>
  <c r="Z30" i="20" s="1"/>
  <c r="AA26" i="20" a="1"/>
  <c r="AA26" i="20" s="1"/>
  <c r="Z26" i="20" s="1"/>
  <c r="AA16" i="20" a="1"/>
  <c r="AA16" i="20" s="1"/>
  <c r="Z16" i="20" s="1"/>
  <c r="AA13" i="20" a="1"/>
  <c r="AA13" i="20" s="1"/>
  <c r="Z13" i="20" s="1"/>
  <c r="AA10" i="20" a="1"/>
  <c r="AA10" i="20" s="1"/>
  <c r="Z10" i="20" s="1"/>
  <c r="AA5" i="20" a="1"/>
  <c r="AA5" i="20" s="1"/>
  <c r="Z5" i="20" s="1"/>
  <c r="AA52" i="20" a="1"/>
  <c r="AA52" i="20" s="1"/>
  <c r="Z52" i="20" s="1"/>
  <c r="AA44" i="20" a="1"/>
  <c r="AA44" i="20" s="1"/>
  <c r="Z44" i="20" s="1"/>
  <c r="AA37" i="20" a="1"/>
  <c r="AA37" i="20" s="1"/>
  <c r="Z37" i="20" s="1"/>
  <c r="AA29" i="20" a="1"/>
  <c r="AA29" i="20" s="1"/>
  <c r="Z29" i="20" s="1"/>
  <c r="AA24" i="20" a="1"/>
  <c r="AA24" i="20" s="1"/>
  <c r="Z24" i="20" s="1"/>
  <c r="AA21" i="20" a="1"/>
  <c r="AA21" i="20" s="1"/>
  <c r="Z21" i="20" s="1"/>
  <c r="AA40" i="20" a="1"/>
  <c r="AA40" i="20" s="1"/>
  <c r="Z40" i="20" s="1"/>
  <c r="AA18" i="20" a="1"/>
  <c r="AA18" i="20" s="1"/>
  <c r="Z18" i="20" s="1"/>
  <c r="AA12" i="20" a="1"/>
  <c r="AA12" i="20" s="1"/>
  <c r="Z12" i="20" s="1"/>
  <c r="AA9" i="20" a="1"/>
  <c r="AA9" i="20" s="1"/>
  <c r="Z9" i="20" s="1"/>
  <c r="AA7" i="20" a="1"/>
  <c r="AA7" i="20" s="1"/>
  <c r="Z7" i="20" s="1"/>
  <c r="AA53" i="20" a="1"/>
  <c r="AA53" i="20" s="1"/>
  <c r="Z53" i="20" s="1"/>
  <c r="AA49" i="20" a="1"/>
  <c r="AA49" i="20" s="1"/>
  <c r="Z49" i="20" s="1"/>
  <c r="AA47" i="20" a="1"/>
  <c r="AA47" i="20" s="1"/>
  <c r="Z47" i="20" s="1"/>
  <c r="AA35" i="20" a="1"/>
  <c r="AA35" i="20" s="1"/>
  <c r="Z35" i="20" s="1"/>
  <c r="AA32" i="20" a="1"/>
  <c r="AA32" i="20" s="1"/>
  <c r="Z32" i="20" s="1"/>
  <c r="AA28" i="20" a="1"/>
  <c r="AA28" i="20" s="1"/>
  <c r="Z28" i="20" s="1"/>
  <c r="AA25" i="20" a="1"/>
  <c r="AA25" i="20" s="1"/>
  <c r="Z25" i="20" s="1"/>
  <c r="AA22" i="20" a="1"/>
  <c r="AA22" i="20" s="1"/>
  <c r="Z22" i="20" s="1"/>
  <c r="AA14" i="20" a="1"/>
  <c r="AA14" i="20" s="1"/>
  <c r="Z14" i="20" s="1"/>
  <c r="AA51" i="20" a="1"/>
  <c r="AA51" i="20" s="1"/>
  <c r="Z51" i="20" s="1"/>
  <c r="AA50" i="20" a="1"/>
  <c r="AA50" i="20" s="1"/>
  <c r="Z50" i="20" s="1"/>
  <c r="AA45" i="20" a="1"/>
  <c r="AA45" i="20" s="1"/>
  <c r="Z45" i="20" s="1"/>
  <c r="AA42" i="20" a="1"/>
  <c r="AA42" i="20" s="1"/>
  <c r="Z42" i="20" s="1"/>
  <c r="AA36" i="20" a="1"/>
  <c r="AA36" i="20" s="1"/>
  <c r="Z36" i="20" s="1"/>
  <c r="AA34" i="20" a="1"/>
  <c r="AA34" i="20" s="1"/>
  <c r="Z34" i="20" s="1"/>
  <c r="AA20" i="20" a="1"/>
  <c r="AA20" i="20" s="1"/>
  <c r="Z20" i="20" s="1"/>
  <c r="AA19" i="20" a="1"/>
  <c r="AA19" i="20" s="1"/>
  <c r="Z19" i="20" s="1"/>
  <c r="AA15" i="20" a="1"/>
  <c r="AA15" i="20" s="1"/>
  <c r="Z15" i="20" s="1"/>
  <c r="AA6" i="20" a="1"/>
  <c r="AA6" i="20" s="1"/>
  <c r="Z6" i="20" s="1"/>
  <c r="I10" i="23"/>
  <c r="N30" i="20"/>
  <c r="W55" i="20" l="1"/>
  <c r="O55" i="20" s="1"/>
  <c r="P55" i="20"/>
  <c r="W11" i="20"/>
  <c r="W14" i="20"/>
  <c r="W8" i="20"/>
  <c r="T5" i="20"/>
  <c r="N2" i="26" s="1"/>
  <c r="V5" i="20"/>
  <c r="O2" i="26"/>
  <c r="AK47" i="20"/>
  <c r="AK41" i="20"/>
  <c r="AK31" i="20"/>
  <c r="AK52" i="20"/>
  <c r="AK50" i="20"/>
  <c r="AK46" i="20"/>
  <c r="AK43" i="20"/>
  <c r="AK37" i="20"/>
  <c r="AK33" i="20"/>
  <c r="AK28" i="20"/>
  <c r="AK24" i="20"/>
  <c r="AK54" i="20"/>
  <c r="AK44" i="20"/>
  <c r="AK40" i="20"/>
  <c r="AK36" i="20"/>
  <c r="AK30" i="20"/>
  <c r="AK25" i="20"/>
  <c r="AK48" i="20"/>
  <c r="AK35" i="20"/>
  <c r="AK27" i="20"/>
  <c r="AK51" i="20"/>
  <c r="AK39" i="20"/>
  <c r="AK32" i="20"/>
  <c r="AK26" i="20"/>
  <c r="AK53" i="20"/>
  <c r="AK49" i="20"/>
  <c r="AK45" i="20"/>
  <c r="AK42" i="20"/>
  <c r="AK38" i="20"/>
  <c r="AK34" i="20"/>
  <c r="AK29" i="20"/>
  <c r="AK23" i="20"/>
  <c r="AH55" i="20"/>
  <c r="S14" i="26"/>
  <c r="S8" i="26"/>
  <c r="S6" i="26"/>
  <c r="S18" i="26"/>
  <c r="S5" i="26"/>
  <c r="S16" i="26"/>
  <c r="S13" i="26"/>
  <c r="S11" i="26"/>
  <c r="S3" i="26"/>
  <c r="S17" i="26"/>
  <c r="S4" i="26"/>
  <c r="S7" i="26"/>
  <c r="S9" i="26"/>
  <c r="S12" i="26"/>
  <c r="S19" i="26"/>
  <c r="S10" i="26"/>
  <c r="AE55" i="20"/>
  <c r="N16" i="26"/>
  <c r="AB55" i="20"/>
  <c r="AN18" i="20"/>
  <c r="U15" i="26"/>
  <c r="AN11" i="20"/>
  <c r="U8" i="26"/>
  <c r="AN19" i="20"/>
  <c r="U16" i="26"/>
  <c r="AN13" i="20"/>
  <c r="U10" i="26"/>
  <c r="U14" i="26"/>
  <c r="AN17" i="20"/>
  <c r="AN12" i="20"/>
  <c r="U9" i="26"/>
  <c r="AN6" i="20"/>
  <c r="U3" i="26"/>
  <c r="U18" i="26"/>
  <c r="AN21" i="20"/>
  <c r="AN14" i="20"/>
  <c r="U11" i="26"/>
  <c r="U4" i="26"/>
  <c r="AN7" i="20"/>
  <c r="AN20" i="20"/>
  <c r="U17" i="26"/>
  <c r="AN10" i="20"/>
  <c r="U7" i="26"/>
  <c r="AN16" i="20"/>
  <c r="U13" i="26"/>
  <c r="AN9" i="20"/>
  <c r="U6" i="26"/>
  <c r="AN22" i="20"/>
  <c r="U19" i="26"/>
  <c r="AN15" i="20"/>
  <c r="U12" i="26"/>
  <c r="AN8" i="20"/>
  <c r="U5" i="26"/>
  <c r="AN5" i="20"/>
  <c r="U2" i="26"/>
  <c r="AK21" i="20"/>
  <c r="T18" i="26"/>
  <c r="AK13" i="20"/>
  <c r="T10" i="26"/>
  <c r="AK19" i="20"/>
  <c r="T16" i="26"/>
  <c r="T12" i="26"/>
  <c r="AK15" i="20"/>
  <c r="AK9" i="20"/>
  <c r="T6" i="26"/>
  <c r="T17" i="26"/>
  <c r="AK20" i="20"/>
  <c r="AK14" i="20"/>
  <c r="T11" i="26"/>
  <c r="AK8" i="20"/>
  <c r="T5" i="26"/>
  <c r="AK22" i="20"/>
  <c r="T19" i="26"/>
  <c r="T13" i="26"/>
  <c r="AK16" i="20"/>
  <c r="AK11" i="20"/>
  <c r="T8" i="26"/>
  <c r="AK6" i="20"/>
  <c r="T3" i="26"/>
  <c r="T15" i="26"/>
  <c r="AK18" i="20"/>
  <c r="AK10" i="20"/>
  <c r="T7" i="26"/>
  <c r="AK17" i="20"/>
  <c r="T14" i="26"/>
  <c r="AK12" i="20"/>
  <c r="T9" i="26"/>
  <c r="AK7" i="20"/>
  <c r="T4" i="26"/>
  <c r="AK5" i="20"/>
  <c r="T2" i="26"/>
  <c r="AB5" i="20"/>
  <c r="Q2" i="26"/>
  <c r="Y5" i="20"/>
  <c r="P2" i="26"/>
  <c r="P5" i="20"/>
  <c r="I11" i="23"/>
  <c r="AH26" i="20"/>
  <c r="AH41" i="20"/>
  <c r="AH37" i="20"/>
  <c r="AH42" i="20"/>
  <c r="AH46" i="20"/>
  <c r="AH38" i="20"/>
  <c r="AH39" i="20"/>
  <c r="AH54" i="20"/>
  <c r="AH34" i="20"/>
  <c r="AH45" i="20"/>
  <c r="AH53" i="20"/>
  <c r="AH32" i="20"/>
  <c r="AH40" i="20"/>
  <c r="AH52" i="20"/>
  <c r="AH44" i="20"/>
  <c r="AH43" i="20"/>
  <c r="AH51" i="20"/>
  <c r="AH50" i="20"/>
  <c r="AH29" i="20"/>
  <c r="AH49" i="20"/>
  <c r="AH48" i="20"/>
  <c r="AH35" i="20"/>
  <c r="AH36" i="20"/>
  <c r="AH47"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B43" i="20"/>
  <c r="AB54" i="20"/>
  <c r="AB41" i="20"/>
  <c r="AB53" i="20"/>
  <c r="AB42" i="20"/>
  <c r="AB39" i="20"/>
  <c r="AB36" i="20"/>
  <c r="AB35" i="20"/>
  <c r="AB52" i="20"/>
  <c r="AB51" i="20"/>
  <c r="AB50" i="20"/>
  <c r="AB49" i="20"/>
  <c r="AB48" i="20"/>
  <c r="AB47" i="20"/>
  <c r="AB46" i="20"/>
  <c r="AB45" i="20"/>
  <c r="AB44" i="20"/>
  <c r="AB40" i="20"/>
  <c r="AB34" i="20"/>
  <c r="Y45" i="20"/>
  <c r="Y53" i="20"/>
  <c r="Y42" i="20"/>
  <c r="Y34" i="20"/>
  <c r="Y41" i="20"/>
  <c r="Y33" i="20"/>
  <c r="Y39" i="20"/>
  <c r="Y46" i="20"/>
  <c r="Y38" i="20"/>
  <c r="Y47" i="20"/>
  <c r="Y48" i="20"/>
  <c r="Y50" i="20"/>
  <c r="V45" i="20"/>
  <c r="V39" i="20"/>
  <c r="V38" i="20"/>
  <c r="V47" i="20"/>
  <c r="V54" i="20"/>
  <c r="V48" i="20"/>
  <c r="V53" i="20"/>
  <c r="V46" i="20"/>
  <c r="V44" i="20"/>
  <c r="V42" i="20"/>
  <c r="V35" i="20"/>
  <c r="V49" i="20"/>
  <c r="V33" i="20"/>
  <c r="V37" i="20"/>
  <c r="V50" i="20"/>
  <c r="V51" i="20"/>
  <c r="V32" i="20"/>
  <c r="V43" i="20"/>
  <c r="V52" i="20"/>
  <c r="V41" i="20"/>
  <c r="V40" i="20"/>
  <c r="AE26" i="20"/>
  <c r="R23" i="26"/>
  <c r="AE25" i="20"/>
  <c r="R22" i="26"/>
  <c r="AE24" i="20"/>
  <c r="R21" i="26"/>
  <c r="AE23" i="20"/>
  <c r="R20" i="26"/>
  <c r="AE27" i="20"/>
  <c r="R24" i="26"/>
  <c r="AE28" i="20"/>
  <c r="R25" i="26"/>
  <c r="AB31" i="20"/>
  <c r="Q28" i="26"/>
  <c r="AB27" i="20"/>
  <c r="Q24" i="26"/>
  <c r="AB23" i="20"/>
  <c r="Q20" i="26"/>
  <c r="AB28" i="20"/>
  <c r="Q25" i="26"/>
  <c r="AB33" i="20"/>
  <c r="Q30" i="26"/>
  <c r="AB29" i="20"/>
  <c r="Q26" i="26"/>
  <c r="AB25" i="20"/>
  <c r="Q22" i="26"/>
  <c r="AB32" i="20"/>
  <c r="Q29" i="26"/>
  <c r="AB30" i="20"/>
  <c r="Q27" i="26"/>
  <c r="AB26" i="20"/>
  <c r="Q23" i="26"/>
  <c r="AB24" i="20"/>
  <c r="Q21" i="26"/>
  <c r="Y32" i="20"/>
  <c r="P29" i="26"/>
  <c r="Y29" i="20"/>
  <c r="P26" i="26"/>
  <c r="Y28" i="20"/>
  <c r="P25" i="26"/>
  <c r="Y26" i="20"/>
  <c r="P23" i="26"/>
  <c r="Y24" i="20"/>
  <c r="P21" i="26"/>
  <c r="Y31" i="20"/>
  <c r="P28" i="26"/>
  <c r="Y30" i="20"/>
  <c r="P27" i="26"/>
  <c r="Y27" i="20"/>
  <c r="P24" i="26"/>
  <c r="Y25" i="20"/>
  <c r="P22" i="26"/>
  <c r="Y23" i="20"/>
  <c r="P20" i="26"/>
  <c r="V24" i="20"/>
  <c r="O21" i="26"/>
  <c r="V23" i="20"/>
  <c r="O20" i="26"/>
  <c r="V30" i="20"/>
  <c r="O27" i="26"/>
  <c r="V28" i="20"/>
  <c r="O25" i="26"/>
  <c r="V26" i="20"/>
  <c r="O23" i="26"/>
  <c r="V29" i="20"/>
  <c r="O26" i="26"/>
  <c r="V31" i="20"/>
  <c r="O28" i="26"/>
  <c r="V27" i="20"/>
  <c r="O24" i="26"/>
  <c r="V25" i="20"/>
  <c r="O22" i="26"/>
  <c r="N33" i="26"/>
  <c r="N20" i="26"/>
  <c r="N25" i="26"/>
  <c r="N24" i="26"/>
  <c r="N31" i="26"/>
  <c r="N21" i="26"/>
  <c r="O26" i="20"/>
  <c r="N23" i="26"/>
  <c r="N35" i="26"/>
  <c r="N30" i="26"/>
  <c r="N27" i="26"/>
  <c r="N28" i="26"/>
  <c r="N29" i="26"/>
  <c r="N34" i="26"/>
  <c r="N26" i="26"/>
  <c r="N22" i="26"/>
  <c r="P35" i="20"/>
  <c r="U25" i="26"/>
  <c r="U20" i="26"/>
  <c r="U28" i="26"/>
  <c r="U29" i="26"/>
  <c r="S29" i="20"/>
  <c r="S34" i="20"/>
  <c r="S24" i="20"/>
  <c r="S32" i="20"/>
  <c r="S28" i="20"/>
  <c r="S23" i="20"/>
  <c r="S30" i="20"/>
  <c r="S38" i="20"/>
  <c r="S27" i="20"/>
  <c r="S33" i="20"/>
  <c r="S26" i="20"/>
  <c r="U45" i="26"/>
  <c r="U48" i="26"/>
  <c r="U47" i="26"/>
  <c r="U46" i="26"/>
  <c r="U31" i="26"/>
  <c r="U21" i="26"/>
  <c r="O8" i="26" l="1"/>
  <c r="V11" i="20"/>
  <c r="O11" i="26"/>
  <c r="V14" i="20"/>
  <c r="O5" i="26"/>
  <c r="V8" i="20"/>
  <c r="S2" i="26"/>
  <c r="AH5" i="20"/>
  <c r="R16" i="26"/>
  <c r="AE19" i="20"/>
  <c r="R13" i="26"/>
  <c r="AE16" i="20"/>
  <c r="R7" i="26"/>
  <c r="AE10" i="20"/>
  <c r="R4" i="26"/>
  <c r="AE7" i="20"/>
  <c r="R6" i="26"/>
  <c r="AE9" i="20"/>
  <c r="R11" i="26"/>
  <c r="AE14" i="20"/>
  <c r="R14" i="26"/>
  <c r="AE17" i="20"/>
  <c r="R19" i="26"/>
  <c r="AE22" i="20"/>
  <c r="R9" i="26"/>
  <c r="AE12" i="20"/>
  <c r="R17" i="26"/>
  <c r="AE20" i="20"/>
  <c r="R18" i="26"/>
  <c r="AE21" i="20"/>
  <c r="AH18" i="20"/>
  <c r="S15" i="26"/>
  <c r="R12" i="26"/>
  <c r="AE15" i="20"/>
  <c r="R8" i="26"/>
  <c r="AE11" i="20"/>
  <c r="R3" i="26"/>
  <c r="AE6" i="20"/>
  <c r="R15" i="26"/>
  <c r="AE18" i="20"/>
  <c r="R10" i="26"/>
  <c r="AE13" i="20"/>
  <c r="R5" i="26"/>
  <c r="AE8" i="20"/>
  <c r="R2" i="26"/>
  <c r="AE5" i="20"/>
  <c r="AB12" i="20"/>
  <c r="Q9" i="26"/>
  <c r="Q5" i="26"/>
  <c r="AB8" i="20"/>
  <c r="Q3" i="26"/>
  <c r="AB6" i="20"/>
  <c r="Q14" i="26"/>
  <c r="AB17" i="20"/>
  <c r="Q17" i="26"/>
  <c r="AB20" i="20"/>
  <c r="Q6" i="26"/>
  <c r="AB9" i="20"/>
  <c r="Q10" i="26"/>
  <c r="AB13" i="20"/>
  <c r="Q11" i="26"/>
  <c r="AB14" i="20"/>
  <c r="AB15" i="20"/>
  <c r="Q12" i="26"/>
  <c r="Q18" i="26"/>
  <c r="AB21" i="20"/>
  <c r="AB22" i="20"/>
  <c r="Q19" i="26"/>
  <c r="AB18" i="20"/>
  <c r="Q15" i="26"/>
  <c r="AB16" i="20"/>
  <c r="Q13" i="26"/>
  <c r="AB7" i="20"/>
  <c r="Q4" i="26"/>
  <c r="AB19" i="20"/>
  <c r="Q16" i="26"/>
  <c r="AB11" i="20"/>
  <c r="Q8" i="26"/>
  <c r="AB10" i="20"/>
  <c r="Q7" i="26"/>
  <c r="Y11" i="20"/>
  <c r="P8" i="26"/>
  <c r="Y18" i="20"/>
  <c r="P15" i="26"/>
  <c r="Y19" i="20"/>
  <c r="P16" i="26"/>
  <c r="Y17" i="20"/>
  <c r="P14" i="26"/>
  <c r="Y8" i="20"/>
  <c r="P5" i="26"/>
  <c r="Y16" i="20"/>
  <c r="P13" i="26"/>
  <c r="P10" i="26"/>
  <c r="Y13" i="20"/>
  <c r="Y10" i="20"/>
  <c r="P7" i="26"/>
  <c r="Y21" i="20"/>
  <c r="P18" i="26"/>
  <c r="P9" i="26"/>
  <c r="Y12" i="20"/>
  <c r="P6" i="26"/>
  <c r="Y9" i="20"/>
  <c r="Y7" i="20"/>
  <c r="P4" i="26"/>
  <c r="Y22" i="20"/>
  <c r="P19" i="26"/>
  <c r="Y14" i="20"/>
  <c r="P11" i="26"/>
  <c r="P17" i="26"/>
  <c r="Y20" i="20"/>
  <c r="Y15" i="20"/>
  <c r="P12" i="26"/>
  <c r="Y6" i="20"/>
  <c r="P3" i="26"/>
  <c r="O10" i="26"/>
  <c r="V13" i="20"/>
  <c r="O15" i="26"/>
  <c r="V18" i="20"/>
  <c r="O4" i="26"/>
  <c r="V7" i="20"/>
  <c r="N17" i="26"/>
  <c r="S20" i="20"/>
  <c r="O7" i="26"/>
  <c r="V10" i="20"/>
  <c r="O14" i="26"/>
  <c r="V17" i="20"/>
  <c r="O19" i="26"/>
  <c r="V22" i="20"/>
  <c r="O13" i="26"/>
  <c r="V16" i="20"/>
  <c r="O18" i="26"/>
  <c r="V21" i="20"/>
  <c r="O16" i="26"/>
  <c r="V19" i="20"/>
  <c r="O9" i="26"/>
  <c r="V12" i="20"/>
  <c r="O6" i="26"/>
  <c r="V9" i="20"/>
  <c r="O3" i="26"/>
  <c r="V6" i="20"/>
  <c r="O17" i="26"/>
  <c r="V20" i="20"/>
  <c r="O12" i="26"/>
  <c r="V15" i="20"/>
  <c r="N13" i="26"/>
  <c r="S16" i="20"/>
  <c r="N12" i="26"/>
  <c r="S15" i="20"/>
  <c r="N3" i="26"/>
  <c r="S6" i="20"/>
  <c r="N19" i="26"/>
  <c r="S22" i="20"/>
  <c r="N9" i="26"/>
  <c r="S12" i="20"/>
  <c r="N7" i="26"/>
  <c r="S10" i="20"/>
  <c r="N4" i="26"/>
  <c r="S7" i="20"/>
  <c r="N18" i="26"/>
  <c r="S21" i="20"/>
  <c r="N8" i="26"/>
  <c r="S11" i="20"/>
  <c r="N10" i="26"/>
  <c r="S13" i="20"/>
  <c r="N11" i="26"/>
  <c r="S14" i="20"/>
  <c r="N15" i="26"/>
  <c r="S18" i="20"/>
  <c r="O18" i="20"/>
  <c r="N5" i="26"/>
  <c r="S8" i="20"/>
  <c r="S9" i="20"/>
  <c r="N6" i="26"/>
  <c r="N14" i="26"/>
  <c r="S17" i="20"/>
  <c r="N8" i="20"/>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N52" i="26"/>
  <c r="S51" i="20"/>
  <c r="O51" i="20"/>
  <c r="P37" i="26"/>
  <c r="Y40" i="20"/>
  <c r="Y54" i="20"/>
  <c r="P51" i="26"/>
  <c r="P40" i="26"/>
  <c r="Y43" i="20"/>
  <c r="Y44" i="20"/>
  <c r="P41" i="26"/>
  <c r="P33" i="26"/>
  <c r="Y36" i="20"/>
  <c r="P34" i="26"/>
  <c r="Y37" i="20"/>
  <c r="Y35" i="20"/>
  <c r="P32" i="26"/>
  <c r="Y49" i="20"/>
  <c r="P46" i="26"/>
  <c r="Y51" i="20"/>
  <c r="P48" i="26"/>
  <c r="Y52" i="20"/>
  <c r="P49" i="26"/>
  <c r="O36" i="20"/>
  <c r="V36" i="20"/>
  <c r="S54" i="20"/>
  <c r="O54" i="20"/>
  <c r="O49" i="20"/>
  <c r="N46" i="26"/>
  <c r="N36" i="26"/>
  <c r="O39" i="20"/>
  <c r="S47" i="20"/>
  <c r="O47" i="20"/>
  <c r="N45" i="26"/>
  <c r="O48" i="20"/>
  <c r="S40" i="20"/>
  <c r="O40" i="20"/>
  <c r="O42" i="20"/>
  <c r="S42" i="20"/>
  <c r="O35" i="20"/>
  <c r="S35" i="20"/>
  <c r="N32" i="26"/>
  <c r="O44" i="20"/>
  <c r="S44" i="20"/>
  <c r="O50" i="20"/>
  <c r="S50" i="20"/>
  <c r="N42" i="26"/>
  <c r="O45" i="20"/>
  <c r="O53" i="20"/>
  <c r="N50" i="26"/>
  <c r="N49" i="26"/>
  <c r="O52" i="20"/>
  <c r="S43" i="20"/>
  <c r="O43" i="20"/>
  <c r="S41" i="20"/>
  <c r="O41" i="20"/>
  <c r="S5" i="20"/>
  <c r="O5" i="20"/>
  <c r="U39" i="26"/>
  <c r="U49" i="26"/>
  <c r="U27" i="26"/>
  <c r="U36" i="26"/>
  <c r="U30" i="26"/>
  <c r="U38" i="26"/>
  <c r="U22" i="26"/>
  <c r="U40" i="26"/>
  <c r="U37" i="26"/>
  <c r="T25" i="26"/>
  <c r="N37" i="26"/>
  <c r="N38" i="26"/>
  <c r="N47" i="26"/>
  <c r="N43" i="26"/>
  <c r="N53" i="26"/>
  <c r="V53" i="26" s="1"/>
  <c r="N44" i="26"/>
  <c r="S36" i="20"/>
  <c r="T21" i="26"/>
  <c r="N48" i="26"/>
  <c r="N40" i="26"/>
  <c r="S39" i="20"/>
  <c r="S25" i="20"/>
  <c r="S49" i="20"/>
  <c r="N41" i="26"/>
  <c r="N39" i="26"/>
  <c r="N51" i="26"/>
  <c r="S31" i="20"/>
  <c r="S19" i="20"/>
  <c r="S53" i="20"/>
  <c r="S48" i="20"/>
  <c r="S52" i="20"/>
  <c r="S37" i="20"/>
  <c r="S45" i="20"/>
  <c r="T40" i="26"/>
  <c r="T39" i="26"/>
  <c r="T26" i="26"/>
  <c r="T49" i="26"/>
  <c r="T48" i="26"/>
  <c r="T33" i="26"/>
  <c r="T23" i="26"/>
  <c r="T32" i="26"/>
  <c r="T41" i="26"/>
  <c r="T47" i="26"/>
  <c r="P52" i="26"/>
  <c r="T31" i="26"/>
  <c r="P53" i="26"/>
  <c r="P39" i="26"/>
  <c r="T37" i="26"/>
  <c r="T20" i="26"/>
  <c r="P47" i="26"/>
  <c r="T22" i="26"/>
  <c r="T44" i="26"/>
  <c r="T46" i="26"/>
  <c r="T24" i="26"/>
  <c r="T43" i="26"/>
  <c r="T50" i="26"/>
  <c r="P50" i="26"/>
  <c r="P36" i="26"/>
  <c r="P31" i="26"/>
  <c r="P35" i="26"/>
  <c r="P42" i="26"/>
  <c r="P45" i="26"/>
  <c r="P44" i="26"/>
  <c r="P38" i="26"/>
  <c r="P43" i="26"/>
  <c r="P30" i="26"/>
  <c r="U32" i="26"/>
  <c r="U42" i="26"/>
  <c r="U23" i="26"/>
  <c r="U24" i="26"/>
  <c r="U26" i="26"/>
  <c r="U44" i="26"/>
  <c r="U52" i="26"/>
  <c r="U43" i="26"/>
  <c r="U53" i="26"/>
  <c r="Q42" i="26"/>
  <c r="Q39" i="26"/>
  <c r="Q46" i="26"/>
  <c r="Q32" i="26"/>
  <c r="Q33" i="26"/>
  <c r="Q53" i="26"/>
  <c r="Q48" i="26"/>
  <c r="Q35" i="26"/>
  <c r="Q34" i="26"/>
  <c r="Q43" i="26"/>
  <c r="Q51" i="26"/>
  <c r="Q37" i="26"/>
  <c r="Q45" i="26"/>
  <c r="Q47" i="26"/>
  <c r="Q50" i="26"/>
  <c r="Q49" i="26"/>
  <c r="Q41" i="26"/>
  <c r="Q38" i="26"/>
  <c r="Q36" i="26"/>
  <c r="Q31" i="26"/>
  <c r="Q44" i="26"/>
  <c r="Q40" i="26"/>
  <c r="Q52" i="26"/>
  <c r="R40" i="26"/>
  <c r="S29" i="26"/>
  <c r="R47" i="26"/>
  <c r="S53" i="26"/>
  <c r="R46" i="26"/>
  <c r="R32" i="26"/>
  <c r="R41" i="26"/>
  <c r="R48" i="26"/>
  <c r="S31" i="26"/>
  <c r="S20" i="26"/>
  <c r="R33" i="26"/>
  <c r="S32" i="26"/>
  <c r="R50" i="26"/>
  <c r="R26" i="26"/>
  <c r="S25" i="26"/>
  <c r="S36" i="26"/>
  <c r="S44" i="26"/>
  <c r="R27" i="26"/>
  <c r="S52" i="26"/>
  <c r="S41" i="26"/>
  <c r="R35" i="26"/>
  <c r="S21" i="26"/>
  <c r="R43" i="26"/>
  <c r="R36" i="26"/>
  <c r="R42" i="26"/>
  <c r="S23" i="26"/>
  <c r="S45" i="26"/>
  <c r="R51" i="26"/>
  <c r="R44" i="26"/>
  <c r="S39" i="26"/>
  <c r="R29" i="26"/>
  <c r="R52" i="26"/>
  <c r="S35" i="26"/>
  <c r="S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33" i="20"/>
  <c r="P16" i="20"/>
  <c r="P43" i="20"/>
  <c r="P27" i="20"/>
  <c r="P11" i="20"/>
  <c r="P25" i="20"/>
  <c r="P39" i="20"/>
  <c r="P7" i="20"/>
  <c r="P38" i="20"/>
  <c r="P37" i="20"/>
  <c r="P34" i="20"/>
  <c r="P48" i="20"/>
  <c r="P46" i="20"/>
  <c r="P42" i="20"/>
  <c r="P26" i="20"/>
  <c r="P10" i="20"/>
  <c r="V2" i="26" l="1"/>
  <c r="V15" i="26"/>
  <c r="V5" i="26"/>
  <c r="V6" i="26"/>
  <c r="V19" i="26"/>
  <c r="V14" i="26"/>
  <c r="V16" i="26"/>
  <c r="V17" i="26"/>
  <c r="V11" i="26"/>
  <c r="V13" i="26"/>
  <c r="V12" i="26"/>
  <c r="V3" i="26"/>
  <c r="V9" i="26"/>
  <c r="V7" i="26"/>
  <c r="V4" i="26"/>
  <c r="V18" i="26"/>
  <c r="V8" i="26"/>
  <c r="V10" i="26"/>
  <c r="V20" i="26"/>
  <c r="V25" i="26"/>
  <c r="V21" i="26"/>
  <c r="V23" i="26"/>
  <c r="Q8" i="20"/>
  <c r="N9" i="20"/>
  <c r="I13" i="23"/>
  <c r="T53" i="26"/>
  <c r="T29" i="26"/>
  <c r="T51" i="26"/>
  <c r="T45" i="26"/>
  <c r="T30" i="26"/>
  <c r="T52" i="26"/>
  <c r="T35" i="26"/>
  <c r="T27" i="26"/>
  <c r="T38" i="26"/>
  <c r="T36" i="26"/>
  <c r="T34" i="26"/>
  <c r="T28" i="26"/>
  <c r="T42" i="26"/>
  <c r="B5" i="20"/>
  <c r="A2" i="26"/>
  <c r="U51" i="26"/>
  <c r="U34" i="26"/>
  <c r="U33" i="26"/>
  <c r="U35" i="26"/>
  <c r="U50" i="26"/>
  <c r="U41" i="26"/>
  <c r="S48" i="26"/>
  <c r="S27" i="26"/>
  <c r="S40" i="26"/>
  <c r="S24" i="26"/>
  <c r="V24" i="26" s="1"/>
  <c r="S42" i="26"/>
  <c r="S49" i="26"/>
  <c r="S26" i="26"/>
  <c r="V26" i="26" s="1"/>
  <c r="S30" i="26"/>
  <c r="S50" i="26"/>
  <c r="S46" i="26"/>
  <c r="S38" i="26"/>
  <c r="S51" i="26"/>
  <c r="S28" i="26"/>
  <c r="S34" i="26"/>
  <c r="S33" i="26"/>
  <c r="S22" i="26"/>
  <c r="V22" i="26" s="1"/>
  <c r="S47" i="26"/>
  <c r="S37" i="26"/>
  <c r="R53" i="26"/>
  <c r="R49" i="26"/>
  <c r="R34" i="26"/>
  <c r="R37" i="26"/>
  <c r="R39" i="26"/>
  <c r="R28" i="26"/>
  <c r="R38" i="26"/>
  <c r="R45" i="26"/>
  <c r="R31" i="26"/>
  <c r="R30" i="26"/>
  <c r="O41" i="26"/>
  <c r="O37" i="26"/>
  <c r="O49" i="26"/>
  <c r="O34" i="26"/>
  <c r="O52" i="26"/>
  <c r="O42" i="26"/>
  <c r="O32" i="26"/>
  <c r="V32" i="26" s="1"/>
  <c r="O43" i="26"/>
  <c r="V43" i="26" s="1"/>
  <c r="O51" i="26"/>
  <c r="O44" i="26"/>
  <c r="V44" i="26" s="1"/>
  <c r="O39" i="26"/>
  <c r="O48" i="26"/>
  <c r="O45" i="26"/>
  <c r="O29" i="26"/>
  <c r="O30" i="26"/>
  <c r="O47" i="26"/>
  <c r="O36" i="26"/>
  <c r="O40" i="26"/>
  <c r="O35" i="26"/>
  <c r="O31" i="26"/>
  <c r="O50" i="26"/>
  <c r="O33" i="26"/>
  <c r="O38" i="26"/>
  <c r="O53" i="26"/>
  <c r="O46" i="26"/>
  <c r="A3" i="26"/>
  <c r="D5" i="20"/>
  <c r="G5" i="20" s="1"/>
  <c r="V31" i="26" l="1"/>
  <c r="V50" i="26"/>
  <c r="V29" i="26"/>
  <c r="V35" i="26"/>
  <c r="V36" i="26"/>
  <c r="V30" i="26"/>
  <c r="V33" i="26"/>
  <c r="V40" i="26"/>
  <c r="V45" i="26"/>
  <c r="V47" i="26"/>
  <c r="V51" i="26"/>
  <c r="V38" i="26"/>
  <c r="V46" i="26"/>
  <c r="V48" i="26"/>
  <c r="V42" i="26"/>
  <c r="V39" i="26"/>
  <c r="V52" i="26"/>
  <c r="V27" i="26"/>
  <c r="V41" i="26"/>
  <c r="V37" i="26"/>
  <c r="V34" i="26"/>
  <c r="V28" i="26"/>
  <c r="V49" i="26"/>
  <c r="BK9" i="20"/>
  <c r="Q9" i="20"/>
  <c r="N10" i="20"/>
  <c r="I14" i="23"/>
  <c r="E2" i="26"/>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 i="20"/>
  <c r="N53" i="20"/>
  <c r="N49" i="20"/>
  <c r="N44" i="20"/>
  <c r="N51" i="20"/>
  <c r="N43" i="20"/>
  <c r="N54" i="20"/>
  <c r="N39" i="20"/>
  <c r="N24" i="20"/>
  <c r="N48" i="20"/>
  <c r="N32" i="20"/>
  <c r="N33" i="20"/>
  <c r="N40" i="20"/>
  <c r="N45" i="20"/>
  <c r="N41" i="20"/>
  <c r="N50" i="20"/>
  <c r="N46" i="20"/>
  <c r="N52" i="20"/>
  <c r="N47" i="20"/>
  <c r="N42" i="20"/>
  <c r="N23" i="20"/>
  <c r="N31" i="20"/>
  <c r="N22" i="20"/>
  <c r="N38" i="20"/>
  <c r="E16" i="26"/>
  <c r="D15" i="26"/>
  <c r="C15" i="26"/>
  <c r="R28" i="20"/>
  <c r="F19" i="20"/>
  <c r="E19" i="20"/>
  <c r="D20" i="20"/>
  <c r="G20" i="20" s="1"/>
  <c r="A18" i="26"/>
  <c r="B20" i="20"/>
  <c r="R55" i="20" l="1"/>
  <c r="Q55"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G53" i="20" s="1"/>
  <c r="B53" i="20"/>
  <c r="A51" i="26"/>
  <c r="E50" i="26" l="1"/>
  <c r="C49" i="26"/>
  <c r="D49" i="26"/>
  <c r="A52" i="26"/>
  <c r="B54" i="20"/>
  <c r="F53" i="20"/>
  <c r="E53" i="20"/>
  <c r="E51" i="26" l="1"/>
  <c r="C50" i="26"/>
  <c r="D50" i="26"/>
  <c r="E54" i="20"/>
  <c r="F54" i="20" s="1"/>
  <c r="A53" i="26"/>
  <c r="C51" i="26" l="1"/>
  <c r="D51" i="26"/>
  <c r="E52" i="26"/>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<sst xmlns="http://schemas.openxmlformats.org/spreadsheetml/2006/main" count="556" uniqueCount="264">
  <si>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</si>
  <si>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</si>
  <si>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</si>
  <si>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</si>
  <si>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</si>
  <si>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</si>
  <si>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</si>
  <si>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</si>
  <si>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</si>
  <si>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</si>
  <si>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</si>
  <si>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</si>
  <si>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</si>
  <si>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</si>
  <si>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</si>
  <si>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</si>
  <si>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</si>
  <si>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</si>
  <si>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</si>
  <si>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</si>
  <si>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</si>
  <si>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</si>
  <si>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</si>
  <si>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</si>
  <si>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</si>
  <si>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</si>
  <si>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</si>
  <si>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</si>
  <si>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</si>
  <si>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</si>
  <si>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</si>
  <si>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</si>
  <si>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</si>
  <si>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</si>
  <si>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</si>
  <si>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</si>
  <si>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</si>
  <si>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</si>
  <si>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</si>
  <si>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</si>
  <si>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</si>
  <si>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</si>
  <si>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</si>
  <si>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</si>
  <si>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</si>
  <si>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</si>
  <si>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</si>
  <si>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</si>
  <si>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</si>
  <si>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</si>
  <si>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</si>
  <si>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</si>
  <si>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</si>
  <si>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</si>
  <si>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</si>
  <si>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</si>
  <si>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</si>
  <si>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</si>
  <si>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</si>
  <si>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</si>
  <si>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</si>
  <si>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</si>
  <si>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</si>
  <si>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</si>
  <si>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</si>
  <si>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</si>
  <si>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</si>
  <si>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</si>
  <si>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</si>
  <si>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</si>
  <si>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</si>
  <si>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</si>
  <si>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</si>
  <si>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</si>
  <si>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</si>
  <si>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</si>
  <si>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</si>
  <si>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</si>
  <si>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</si>
  <si>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</si>
  <si>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</si>
  <si>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</si>
  <si>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</si>
  <si>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</si>
  <si>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</si>
  <si>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</si>
  <si>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</si>
  <si>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</si>
  <si>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</si>
  <si>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</si>
  <si>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</si>
  <si>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</si>
  <si>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</si>
  <si>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</si>
  <si>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</si>
  <si>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</si>
  <si>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1</t>
  </si>
  <si>
    <t>2</t>
  </si>
  <si>
    <t>3</t>
  </si>
  <si>
    <t>4</t>
  </si>
  <si>
    <t>Peak-1</t>
  </si>
  <si>
    <t>Peak-2</t>
  </si>
  <si>
    <t>Advised LOAD</t>
  </si>
  <si>
    <t>ATP</t>
  </si>
  <si>
    <t>WeightTraining</t>
  </si>
  <si>
    <t>Hike</t>
  </si>
  <si>
    <t>AlpineSki</t>
  </si>
  <si>
    <t>BackcountrySki</t>
  </si>
  <si>
    <t>Badminton</t>
  </si>
  <si>
    <t>Canoeing</t>
  </si>
  <si>
    <t>Crossfit</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</si>
  <si>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</si>
  <si>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</si>
  <si>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</si>
  <si>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</si>
  <si>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</si>
  <si>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</si>
  <si>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</si>
  <si>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</si>
  <si>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</si>
  <si>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</si>
  <si>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</si>
  <si>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</si>
  <si>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</si>
  <si>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</si>
  <si>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</si>
  <si>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</si>
  <si>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</si>
  <si>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</si>
  <si>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</si>
  <si>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</si>
  <si>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</si>
  <si>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</si>
  <si>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</si>
  <si>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</si>
  <si>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</si>
  <si>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</si>
  <si>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</si>
  <si>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</si>
  <si>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</si>
  <si>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</si>
  <si>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</si>
  <si>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</si>
  <si>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</si>
  <si>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</si>
  <si>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</si>
  <si>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</si>
  <si>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</si>
  <si>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</si>
  <si>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</si>
  <si>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</si>
  <si>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</si>
  <si>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</si>
  <si>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</si>
  <si>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De 42e editie Kwart(je) &amp; Trio Triathlon Anna Paulowna</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</si>
  <si>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</si>
  <si>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</si>
  <si>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</si>
  <si>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</si>
  <si>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</si>
  <si>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</si>
  <si>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</si>
  <si>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</si>
  <si>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</si>
  <si>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</si>
  <si>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</si>
  <si>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</si>
  <si>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</si>
  <si>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</si>
  <si>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</si>
  <si>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</si>
  <si>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</si>
  <si>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</si>
  <si>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FTP - Ramp</t>
  </si>
  <si>
    <t>FTP - 20m</t>
  </si>
  <si>
    <t>FTP - 60m</t>
  </si>
  <si>
    <t>Swim 1k</t>
  </si>
  <si>
    <t>Swim 100m</t>
  </si>
  <si>
    <t>Coopertest</t>
  </si>
  <si>
    <t>week</t>
  </si>
  <si>
    <t>Koningsloop Moordrecht</t>
  </si>
  <si>
    <t>Gymrace Utrecht met Arjan</t>
  </si>
  <si>
    <t>Teamtijdrict Recreanten Jan van Arckel</t>
  </si>
  <si>
    <t>Goudasfaltloop</t>
  </si>
  <si>
    <t>Race-cat</t>
  </si>
  <si>
    <t>Race_Date</t>
  </si>
  <si>
    <t>Actual MountainBikeRide</t>
  </si>
  <si>
    <t>Actual OpenWaterSwim</t>
  </si>
  <si>
    <t>Actual Ride</t>
  </si>
  <si>
    <t>Actual Run</t>
  </si>
  <si>
    <t>Actual TrailRun</t>
  </si>
  <si>
    <t>Actual Walk</t>
  </si>
  <si>
    <t>Actual Workout</t>
  </si>
  <si>
    <t>Target MountainBikeRide</t>
  </si>
  <si>
    <t>Target OpenWaterSwim</t>
  </si>
  <si>
    <t>Target Ride</t>
  </si>
  <si>
    <t>Target Run</t>
  </si>
  <si>
    <t>Target TrailRun</t>
  </si>
  <si>
    <t>Target Walk</t>
  </si>
  <si>
    <t>Target Workout</t>
  </si>
  <si>
    <t>Total Actual_Load</t>
  </si>
  <si>
    <t>Total Target_Load</t>
  </si>
  <si>
    <t>Load Difference</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</si>
  <si>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</si>
  <si>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</si>
  <si>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</si>
  <si>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</si>
  <si>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</si>
  <si>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</si>
  <si>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</si>
  <si>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</si>
  <si>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</si>
  <si>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</si>
  <si>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</si>
  <si>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</si>
  <si>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</si>
  <si>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</si>
  <si>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</si>
  <si>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</si>
  <si>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</si>
  <si>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</si>
  <si>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</si>
  <si>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</si>
  <si>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</si>
  <si>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</si>
  <si>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</si>
  <si>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</si>
  <si>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</si>
  <si>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</si>
  <si>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</si>
  <si>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</si>
  <si>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</si>
  <si>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</si>
  <si>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</si>
  <si>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</si>
  <si>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</si>
  <si>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</si>
  <si>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</si>
  <si>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</si>
  <si>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</si>
  <si>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</si>
  <si>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</si>
  <si>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</si>
  <si>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</si>
  <si>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</si>
  <si>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</si>
  <si>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</si>
  <si>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</si>
  <si>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</si>
  <si>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</si>
  <si>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</si>
  <si>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</si>
  <si>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</si>
  <si>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date</t>
  </si>
  <si>
    <t>racename</t>
  </si>
  <si>
    <t>racetype</t>
  </si>
  <si>
    <t>racecategory</t>
  </si>
  <si>
    <t>GO triatlon Brouwersdam</t>
  </si>
  <si>
    <t>OHRJ Midwinterloop</t>
  </si>
  <si>
    <t>in intervals icu:</t>
  </si>
  <si>
    <t>Heuvelrug Triathlon</t>
  </si>
  <si>
    <t>FILL IN BELOW</t>
  </si>
  <si>
    <t>6h2idbsxETC</t>
  </si>
  <si>
    <t>i11ETC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</si>
</sst>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ddd"/>
    <numFmt numFmtId="166" formatCode="dd/mm/\y\y\y\y"/>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2">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8"/>
        <bgColor indexed="64"/>
      </patternFill>
    </fill>
  </fills>
  <borders count="53">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top style="medium">
        <color indexed="64"/>
      </top>
      <bottom style="thin">
        <color auto="1"/>
      </bottom>
      <diagonal/>
    </border>
  </borders>
  <cellStyleXfs count="1">
    <xf numFmtId="0" fontId="0" fillId="0" borderId="0"/>
  </cellStyleXfs>
  <cellXfs count="272">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7" xfId="0" applyNumberFormat="1" applyFill="1" applyBorder="1"/>
    <xf numFmtId="1" fontId="0" fillId="6" borderId="1" xfId="0" applyNumberFormat="1" applyFill="1" applyBorder="1"/>
    <xf numFmtId="1" fontId="0" fillId="6" borderId="37" xfId="0" applyNumberFormat="1" applyFill="1" applyBorder="1"/>
    <xf numFmtId="1" fontId="0" fillId="7" borderId="1" xfId="0" applyNumberFormat="1" applyFill="1" applyBorder="1"/>
    <xf numFmtId="1" fontId="0" fillId="7" borderId="37" xfId="0" applyNumberFormat="1" applyFill="1" applyBorder="1"/>
    <xf numFmtId="1" fontId="0" fillId="8" borderId="1" xfId="0" applyNumberFormat="1" applyFill="1" applyBorder="1"/>
    <xf numFmtId="1" fontId="0" fillId="8" borderId="37" xfId="0" applyNumberFormat="1" applyFill="1" applyBorder="1"/>
    <xf numFmtId="0" fontId="0" fillId="4" borderId="37"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3"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8" xfId="0" applyNumberFormat="1" applyFill="1" applyBorder="1"/>
    <xf numFmtId="1" fontId="0" fillId="9" borderId="2" xfId="0" applyNumberFormat="1" applyFill="1" applyBorder="1"/>
    <xf numFmtId="0" fontId="0" fillId="0" borderId="42" xfId="0" applyBorder="1"/>
    <xf numFmtId="0" fontId="5" fillId="0" borderId="0" xfId="0" applyFont="1"/>
    <xf numFmtId="0" fontId="2" fillId="0" borderId="0" xfId="0" applyFont="1"/>
    <xf numFmtId="0" fontId="2" fillId="0" borderId="45" xfId="0" applyFont="1" applyBorder="1"/>
    <xf numFmtId="0" fontId="2" fillId="0" borderId="35" xfId="0" applyFont="1" applyBorder="1"/>
    <xf numFmtId="0" fontId="0" fillId="0" borderId="35" xfId="0" applyBorder="1"/>
    <xf numFmtId="0" fontId="0" fillId="0" borderId="36" xfId="0" applyBorder="1"/>
    <xf numFmtId="0" fontId="0" fillId="3" borderId="0" xfId="0" applyFill="1"/>
    <xf numFmtId="0" fontId="1" fillId="3" borderId="3" xfId="0" applyFont="1" applyFill="1" applyBorder="1" applyAlignment="1">
      <alignment horizontal="center" vertical="center"/>
    </xf>
    <xf numFmtId="0" fontId="0" fillId="3" borderId="31"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2" xfId="0" applyBorder="1" applyAlignment="1">
      <alignment horizontal="center" vertical="center"/>
    </xf>
    <xf numFmtId="14" fontId="0" fillId="0" borderId="39"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2"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39" xfId="0" applyFont="1" applyFill="1" applyBorder="1" applyAlignment="1">
      <alignment horizontal="center" vertical="center"/>
    </xf>
    <xf numFmtId="0" fontId="1" fillId="0" borderId="40"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164" fontId="0" fillId="0" borderId="7" xfId="0" applyNumberFormat="1" applyBorder="1" applyAlignment="1">
      <alignment horizontal="center" vertical="center"/>
    </xf>
    <xf numFmtId="1" fontId="0" fillId="0" borderId="33" xfId="0" applyNumberFormat="1" applyBorder="1" applyAlignment="1">
      <alignment horizontal="center" vertical="center"/>
    </xf>
    <xf numFmtId="0" fontId="1" fillId="3" borderId="40"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3" xfId="0" applyFont="1" applyBorder="1" applyAlignment="1">
      <alignment horizontal="center" vertical="center"/>
    </xf>
    <xf numFmtId="14" fontId="3" fillId="0" borderId="40"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0"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5" xfId="0" applyBorder="1" applyAlignment="1">
      <alignment horizontal="center"/>
    </xf>
    <xf numFmtId="0" fontId="6" fillId="0" borderId="36"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2" xfId="0" applyBorder="1"/>
    <xf numFmtId="0" fontId="0" fillId="0" borderId="33" xfId="0" applyBorder="1"/>
    <xf numFmtId="0" fontId="2" fillId="0" borderId="34" xfId="0" applyFont="1" applyBorder="1"/>
    <xf numFmtId="1" fontId="1" fillId="2" borderId="35" xfId="0" applyNumberFormat="1" applyFont="1" applyFill="1" applyBorder="1"/>
    <xf numFmtId="14" fontId="1" fillId="2" borderId="35" xfId="0" applyNumberFormat="1" applyFont="1" applyFill="1" applyBorder="1"/>
    <xf numFmtId="0" fontId="1" fillId="0" borderId="35" xfId="0" applyFont="1" applyBorder="1"/>
    <xf numFmtId="0" fontId="0" fillId="0" borderId="45"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4" xfId="0" applyFont="1" applyFill="1" applyBorder="1" applyAlignment="1">
      <alignment textRotation="90"/>
    </xf>
    <xf numFmtId="0" fontId="1" fillId="10" borderId="31" xfId="0" applyFont="1" applyFill="1" applyBorder="1" applyAlignment="1">
      <alignment horizontal="center" vertical="center" wrapText="1"/>
    </xf>
    <xf numFmtId="0" fontId="9" fillId="10" borderId="31" xfId="0" applyFont="1" applyFill="1" applyBorder="1" applyAlignment="1">
      <alignment horizontal="center" textRotation="90"/>
    </xf>
    <xf numFmtId="0" fontId="1" fillId="10" borderId="20" xfId="0" applyFont="1" applyFill="1" applyBorder="1" applyAlignment="1">
      <alignment textRotation="90"/>
    </xf>
    <xf numFmtId="0" fontId="1" fillId="10" borderId="41"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6" xfId="0" applyFont="1" applyBorder="1"/>
    <xf numFmtId="0" fontId="0" fillId="0" borderId="42" xfId="0" applyBorder="1" applyAlignment="1">
      <alignment horizontal="center" vertical="center"/>
    </xf>
    <xf numFmtId="0" fontId="0" fillId="0" borderId="8" xfId="0" applyBorder="1" applyAlignment="1">
      <alignment horizontal="center" vertical="center"/>
    </xf>
    <xf numFmtId="0" fontId="0" fillId="0" borderId="48" xfId="0" applyBorder="1" applyAlignment="1">
      <alignment horizontal="center" vertical="center"/>
    </xf>
    <xf numFmtId="1" fontId="0" fillId="0" borderId="23" xfId="0" applyNumberFormat="1" applyBorder="1" applyAlignment="1">
      <alignment horizontal="center" vertical="center"/>
    </xf>
    <xf numFmtId="14" fontId="0" fillId="0" borderId="49"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0"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4"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1"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9" xfId="0" applyNumberForma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46" xfId="0" applyBorder="1" applyAlignment="1">
      <alignment horizontal="center" vertical="center"/>
    </xf>
    <xf numFmtId="0" fontId="13" fillId="0" borderId="46"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5" xfId="0" applyNumberFormat="1" applyFont="1" applyBorder="1"/>
    <xf numFmtId="0" fontId="0" fillId="0" borderId="44" xfId="0" applyBorder="1" applyAlignment="1">
      <alignment horizontal="right" textRotation="90"/>
    </xf>
    <xf numFmtId="1" fontId="0" fillId="2" borderId="45" xfId="0" applyNumberFormat="1" applyFill="1" applyBorder="1"/>
    <xf numFmtId="1" fontId="0" fillId="2" borderId="35" xfId="0" applyNumberFormat="1" applyFill="1" applyBorder="1"/>
    <xf numFmtId="1" fontId="0" fillId="2" borderId="36" xfId="0" applyNumberFormat="1" applyFill="1" applyBorder="1"/>
    <xf numFmtId="14" fontId="1" fillId="0" borderId="31" xfId="0" applyNumberFormat="1" applyFont="1" applyBorder="1"/>
    <xf numFmtId="0" fontId="1" fillId="2" borderId="15" xfId="0" applyFont="1" applyFill="1" applyBorder="1" applyAlignment="1" applyProtection="1">
      <alignment horizontal="center" vertical="center"/>
      <protection locked="0"/>
    </xf>
    <xf numFmtId="0" fontId="0" fillId="2" borderId="24" xfId="0" applyFill="1" applyBorder="1" applyAlignment="1" applyProtection="1">
      <alignment horizontal="center" vertical="center" wrapText="1"/>
      <protection locked="0"/>
    </xf>
    <xf numFmtId="0" fontId="0" fillId="0" borderId="17" xfId="0" applyBorder="1" applyAlignment="1">
      <alignment textRotation="90"/>
    </xf>
    <xf numFmtId="0" fontId="0" fillId="0" borderId="51" xfId="0" applyBorder="1" applyAlignment="1">
      <alignment textRotation="90"/>
    </xf>
    <xf numFmtId="0" fontId="0" fillId="0" borderId="16" xfId="0" applyBorder="1" applyAlignment="1">
      <alignment textRotation="90"/>
    </xf>
    <xf numFmtId="0" fontId="0" fillId="0" borderId="7" xfId="0" applyBorder="1"/>
    <xf numFmtId="1" fontId="0" fillId="0" borderId="7" xfId="0" applyNumberFormat="1" applyBorder="1"/>
    <xf numFmtId="0" fontId="1" fillId="0" borderId="31" xfId="0" applyFont="1" applyBorder="1" applyProtection="1">
      <protection locked="0"/>
    </xf>
    <xf numFmtId="1" fontId="0" fillId="0" borderId="13" xfId="0" applyNumberFormat="1" applyBorder="1" applyAlignment="1" applyProtection="1">
      <alignment horizontal="center" vertical="center"/>
      <protection locked="0"/>
    </xf>
    <xf numFmtId="1" fontId="0" fillId="0" borderId="9" xfId="0" quotePrefix="1" applyNumberFormat="1" applyBorder="1" applyAlignment="1" applyProtection="1">
      <alignment horizontal="center" vertical="center"/>
      <protection locked="0"/>
    </xf>
    <xf numFmtId="1" fontId="0" fillId="0" borderId="9" xfId="0" applyNumberFormat="1" applyBorder="1" applyAlignment="1" applyProtection="1">
      <alignment horizontal="center" vertical="center"/>
      <protection locked="0"/>
    </xf>
    <xf numFmtId="1" fontId="0" fillId="0" borderId="5" xfId="0" applyNumberFormat="1" applyBorder="1" applyAlignment="1" applyProtection="1">
      <alignment horizontal="center" vertical="center"/>
      <protection locked="0"/>
    </xf>
    <xf numFmtId="0" fontId="0" fillId="0" borderId="34" xfId="0" applyBorder="1" applyAlignment="1">
      <alignment horizontal="center" vertical="center"/>
    </xf>
    <xf numFmtId="166" fontId="0" fillId="0" borderId="0" xfId="0" applyNumberFormat="1"/>
    <xf numFmtId="0" fontId="1" fillId="0" borderId="7" xfId="0" applyFont="1" applyBorder="1"/>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7"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8" xfId="0" applyFont="1" applyFill="1" applyBorder="1" applyAlignment="1">
      <alignment horizontal="center" vertical="center" wrapText="1"/>
    </xf>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8" xfId="0" applyFont="1" applyFill="1" applyBorder="1" applyAlignment="1">
      <alignment horizontal="center" vertical="center"/>
    </xf>
    <xf numFmtId="0" fontId="8" fillId="5" borderId="45" xfId="0" applyFont="1" applyFill="1" applyBorder="1" applyAlignment="1">
      <alignment horizontal="center" vertical="center" wrapText="1"/>
    </xf>
    <xf numFmtId="0" fontId="8" fillId="5" borderId="35"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0" fillId="0" borderId="2" xfId="0" applyBorder="1" applyAlignment="1">
      <alignment horizontal="center"/>
    </xf>
    <xf numFmtId="0" fontId="0" fillId="0" borderId="38" xfId="0" applyBorder="1" applyAlignment="1">
      <alignment horizontal="center"/>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4"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4" xfId="0" applyBorder="1" applyAlignment="1">
      <alignment horizontal="center" textRotation="90"/>
    </xf>
    <xf numFmtId="0" fontId="0" fillId="0" borderId="45" xfId="0" applyBorder="1" applyAlignment="1">
      <alignment horizontal="center" textRotation="90"/>
    </xf>
    <xf numFmtId="0" fontId="0" fillId="0" borderId="36" xfId="0" applyBorder="1" applyAlignment="1">
      <alignment horizontal="center" textRotation="90"/>
    </xf>
    <xf numFmtId="0" fontId="0" fillId="0" borderId="17" xfId="0" applyBorder="1" applyAlignment="1">
      <alignment horizontal="left" textRotation="90"/>
    </xf>
    <xf numFmtId="0" fontId="0" fillId="0" borderId="44" xfId="0" applyBorder="1" applyAlignment="1">
      <alignment horizontal="left" textRotation="90"/>
    </xf>
    <xf numFmtId="14" fontId="0" fillId="0" borderId="46" xfId="0" applyNumberFormat="1" applyFill="1" applyBorder="1" applyProtection="1">
      <protection locked="0"/>
    </xf>
    <xf numFmtId="1" fontId="0" fillId="0" borderId="46" xfId="0" applyNumberFormat="1" applyFill="1" applyBorder="1" applyAlignment="1" applyProtection="1">
      <alignment horizontal="left" indent="1"/>
      <protection locked="0"/>
    </xf>
    <xf numFmtId="0" fontId="0" fillId="0" borderId="46" xfId="0" applyFill="1" applyBorder="1" applyProtection="1">
      <protection locked="0"/>
    </xf>
    <xf numFmtId="0" fontId="0" fillId="0" borderId="43" xfId="0" applyFill="1" applyBorder="1" applyProtection="1">
      <protection locked="0"/>
    </xf>
    <xf numFmtId="14" fontId="0" fillId="0" borderId="7" xfId="0" applyNumberFormat="1" applyFill="1" applyBorder="1" applyProtection="1">
      <protection locked="0"/>
    </xf>
    <xf numFmtId="0" fontId="0" fillId="0" borderId="7" xfId="0" applyFill="1" applyBorder="1" applyProtection="1">
      <protection locked="0"/>
    </xf>
    <xf numFmtId="0" fontId="0" fillId="0" borderId="9" xfId="0" applyFill="1" applyBorder="1" applyProtection="1">
      <protection locked="0"/>
    </xf>
    <xf numFmtId="0" fontId="0" fillId="0" borderId="6" xfId="0" applyFill="1" applyBorder="1" applyProtection="1">
      <protection locked="0"/>
    </xf>
    <xf numFmtId="0" fontId="0" fillId="0" borderId="5" xfId="0" applyFill="1" applyBorder="1" applyProtection="1">
      <protection locked="0"/>
    </xf>
    <xf numFmtId="0" fontId="2" fillId="11" borderId="19" xfId="0" applyFont="1" applyFill="1" applyBorder="1"/>
    <xf numFmtId="0" fontId="5" fillId="11" borderId="19" xfId="0" applyFont="1" applyFill="1" applyBorder="1"/>
    <xf numFmtId="0" fontId="2" fillId="11" borderId="18" xfId="0" applyFont="1" applyFill="1" applyBorder="1"/>
    <xf numFmtId="0" fontId="0" fillId="0" borderId="24" xfId="0"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1" fillId="0" borderId="52" xfId="0" applyFont="1" applyBorder="1" applyAlignment="1">
      <alignment horizontal="center"/>
    </xf>
    <xf numFmtId="0" fontId="1" fillId="0" borderId="39" xfId="0" applyFont="1" applyBorder="1" applyAlignment="1">
      <alignment horizontal="center"/>
    </xf>
    <xf numFmtId="0" fontId="1" fillId="0" borderId="29" xfId="0" applyFont="1" applyBorder="1" applyAlignment="1">
      <alignment horizontal="center"/>
    </xf>
    <xf numFmtId="0" fontId="1" fillId="0" borderId="10" xfId="0" applyFont="1" applyBorder="1"/>
    <xf numFmtId="0" fontId="1" fillId="0" borderId="9" xfId="0" applyFont="1" applyBorder="1"/>
    <xf numFmtId="14" fontId="0" fillId="0" borderId="10" xfId="0" applyNumberFormat="1" applyBorder="1"/>
    <xf numFmtId="14" fontId="0" fillId="0" borderId="8" xfId="0" applyNumberFormat="1" applyBorder="1"/>
    <xf numFmtId="0" fontId="0" fillId="0" borderId="6" xfId="0" applyBorder="1"/>
  </cellXfs>
  <cellStyles count="1">
    <cellStyle name="Standaard" xfId="0" builtinId="0"/>
  </cellStyles>
  <dxfs count="35">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9" tint="-0.24994659260841701"/>
      </font>
      <fill>
        <patternFill>
          <bgColor theme="9" tint="0.39994506668294322"/>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69850</xdr:colOff>
      <xdr:row>12</xdr:row>
      <xdr:rowOff>76200</xdr:rowOff>
    </xdr:from>
    <xdr:to>
      <xdr:col>2</xdr:col>
      <xdr:colOff>82550</xdr:colOff>
      <xdr:row>23</xdr:row>
      <xdr:rowOff>127000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352425</xdr:colOff>
      <xdr:row>11</xdr:row>
      <xdr:rowOff>63500</xdr:rowOff>
    </xdr:from>
    <xdr:to>
      <xdr:col>10</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M53" totalsRowShown="0" headerRowDxfId="34">
  <autoFilter ref="A1:M53" xr:uid="{F1C1B9F8-3D16-4B8C-981C-7E965D7954CD}"/>
  <tableColumns count="13">
    <tableColumn id="1" xr3:uid="{6FBDC204-CA0D-4174-A0F1-8382C56AAF75}" name="start_date_local" dataDxfId="33">
      <calculatedColumnFormula>IF(ATP_fill!C5=0,"",ATP_fill!C5)</calculatedColumnFormula>
    </tableColumn>
    <tableColumn id="2" xr3:uid="{0605BA30-D105-4B6C-9062-C995698FD422}" name="period" dataDxfId="32">
      <calculatedColumnFormula>ATP_fill!I5</calculatedColumnFormula>
    </tableColumn>
    <tableColumn id="3" xr3:uid="{F93C261F-A226-4DD1-97D4-19369F73DC1E}" name="race" dataDxfId="31">
      <calculatedColumnFormula>ATP_fill!E5</calculatedColumnFormula>
    </tableColumn>
    <tableColumn id="4" xr3:uid="{E7470105-BF59-45C8-9CBE-5DA9D1C8B43A}" name="cat" dataDxfId="30">
      <calculatedColumnFormula>ATP_fill!F5</calculatedColumnFormula>
    </tableColumn>
    <tableColumn id="5" xr3:uid="{A4902753-2C2B-40CC-B262-42BED7F1EA5B}" name="race_date" dataDxfId="29">
      <calculatedColumnFormula>ATP_fill!G5</calculatedColumnFormula>
    </tableColumn>
    <tableColumn id="22" xr3:uid="{6C95E3F6-1DA8-469B-9FA6-4AFDBE6886DC}" name="test" dataDxfId="28">
      <calculatedColumnFormula>ATP_fill!AZ5</calculatedColumnFormula>
    </tableColumn>
    <tableColumn id="7" xr3:uid="{357C4825-B9DF-4163-B759-FF295B21790C}" name="Weight Lifting" dataDxfId="27">
      <calculatedColumnFormula>ATP_fill!AE5</calculatedColumnFormula>
    </tableColumn>
    <tableColumn id="8" xr3:uid="{ACA1D629-3369-4596-88A2-8544B1BE82D0}" name="Aerobic Endurance" dataDxfId="26">
      <calculatedColumnFormula>ATP_fill!AF5</calculatedColumnFormula>
    </tableColumn>
    <tableColumn id="9" xr3:uid="{0836B354-6B0E-49F0-B47E-AF9890E8BCFC}" name="Muscular force" dataDxfId="25">
      <calculatedColumnFormula>ATP_fill!AG5</calculatedColumnFormula>
    </tableColumn>
    <tableColumn id="10" xr3:uid="{E1AB75AA-AEDF-4B82-A6C7-345D30119544}" name="Speed Skills" dataDxfId="24">
      <calculatedColumnFormula>ATP_fill!AH5</calculatedColumnFormula>
    </tableColumn>
    <tableColumn id="11" xr3:uid="{A37BD6EB-0E9C-497A-B262-7F98AB437CE0}" name="Muscular Endurance" dataDxfId="23">
      <calculatedColumnFormula>ATP_fill!AI5</calculatedColumnFormula>
    </tableColumn>
    <tableColumn id="6" xr3:uid="{7049CDD6-B7B3-4A18-B25F-AD901EF7231F}" name="Anaerobic Endurance" dataDxfId="22"/>
    <tableColumn id="12" xr3:uid="{0FD8815B-C467-401F-A6F4-2DC529CD2619}" name="Sprint Power" dataDxfId="21"/>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6209B-CD44-49BD-BBBE-CAF31887EC3B}" name="Table_WLC" displayName="Table_WLC" ref="A4:R54" totalsRowShown="0">
  <autoFilter ref="A4:R54" xr:uid="{2116209B-CD44-49BD-BBBE-CAF31887EC3B}"/>
  <tableColumns count="18">
    <tableColumn id="1" xr3:uid="{FF8AA73D-40B3-4E76-9A0A-D10D4CBF0550}" name="Week"/>
    <tableColumn id="2" xr3:uid="{E1A8C35B-7600-4C21-872F-6F0A534039A3}" name="Actual MountainBikeRide"/>
    <tableColumn id="3" xr3:uid="{640CF996-7709-4641-A897-9FA6277EB650}" name="Actual OpenWaterSwim"/>
    <tableColumn id="4" xr3:uid="{43C16027-5E06-488F-A2BF-B5E2613EDC89}" name="Actual Ride"/>
    <tableColumn id="5" xr3:uid="{4691E861-9D72-4DBC-8941-B3B1B5774249}" name="Actual Run"/>
    <tableColumn id="6" xr3:uid="{526EECDB-BB99-404B-A023-8FE5F2D842B2}" name="Actual TrailRun"/>
    <tableColumn id="7" xr3:uid="{64FDD796-214B-4B2B-A42F-D89A8E504FF9}" name="Actual Walk"/>
    <tableColumn id="8" xr3:uid="{D3CFCF96-DB63-4593-9757-138E2F7D4D54}" name="Actual Workout"/>
    <tableColumn id="9" xr3:uid="{1DDB1978-53BC-468F-A63C-1048A32F42C7}" name="Target MountainBikeRide"/>
    <tableColumn id="10" xr3:uid="{2AEB6E27-BFC2-4CC9-8050-7A57EFB88E0D}" name="Target OpenWaterSwim"/>
    <tableColumn id="11" xr3:uid="{88E21AC6-DA5A-42A7-AAF4-73120052EA9F}" name="Target Ride"/>
    <tableColumn id="12" xr3:uid="{BC37FE9A-B69F-4A49-8951-278B3CCEA06E}" name="Target Run"/>
    <tableColumn id="13" xr3:uid="{AA822C35-9311-4F22-938D-BADA59489574}" name="Target TrailRun"/>
    <tableColumn id="14" xr3:uid="{A6E20F2D-4C64-4AA2-8C05-3ED89EF5FC2B}" name="Target Walk"/>
    <tableColumn id="15" xr3:uid="{2B0783FA-D5B2-4FF8-A3B7-7B8E753B5CBD}" name="Target Workout"/>
    <tableColumn id="16" xr3:uid="{96FF9F63-0CF9-47B4-A74D-F003FE881214}" name="Total Actual_Load"/>
    <tableColumn id="17" xr3:uid="{113BA15D-F81B-413D-B08A-70DFE459B00E}" name="Total Target_Load"/>
    <tableColumn id="18" xr3:uid="{3E6C5536-F74D-41C8-AC74-71AAE2A330B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D06151-8193-47E8-9AEE-77176D4B034A}" name="Table_WTL" displayName="Table_WTL" ref="A4:H54" totalsRowShown="0">
  <autoFilter ref="A4:H54" xr:uid="{BBD06151-8193-47E8-9AEE-77176D4B034A}"/>
  <tableColumns count="8">
    <tableColumn id="1" xr3:uid="{ABC9371B-1110-4B42-8150-2322F1037483}" name="Week"/>
    <tableColumn id="2" xr3:uid="{2821C0E9-DF06-4F73-9CFC-0BDF803B5B83}" name="Actual MountainBikeRide"/>
    <tableColumn id="3" xr3:uid="{F4645C16-94F9-470E-AC16-4F1A80D05AEF}" name="Actual OpenWaterSwim"/>
    <tableColumn id="4" xr3:uid="{2B9F62CE-C268-40A0-B402-76AEEB6548B5}" name="Actual Ride"/>
    <tableColumn id="5" xr3:uid="{D04E70F7-6F90-4028-9C30-EFED83B472BD}" name="Actual Run"/>
    <tableColumn id="6" xr3:uid="{A1BC1FB7-0F7A-4020-A219-D7CC1838588B}" name="Actual TrailRun"/>
    <tableColumn id="7" xr3:uid="{166E6FB3-49C3-45A3-BC75-8D58DB44F683}" name="Actual Walk"/>
    <tableColumn id="8" xr3:uid="{72DFEE80-D267-4287-BADF-B5BE4B3970FB}" name="Actual Workout"/>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workbookViewId="0">
      <selection activeCell="B4" sqref="B4"/>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36" t="s">
        <v>34</v>
      </c>
      <c r="B1" s="137" t="s">
        <v>35</v>
      </c>
    </row>
    <row r="2" spans="1:3" x14ac:dyDescent="0.35">
      <c r="A2" s="138" t="s">
        <v>40</v>
      </c>
      <c r="B2" s="139" t="s">
        <v>38</v>
      </c>
      <c r="C2" s="140" t="s">
        <v>158</v>
      </c>
    </row>
    <row r="3" spans="1:3" x14ac:dyDescent="0.35">
      <c r="A3" s="5" t="s">
        <v>38</v>
      </c>
      <c r="B3" s="134" t="s">
        <v>262</v>
      </c>
      <c r="C3" s="141" t="s">
        <v>155</v>
      </c>
    </row>
    <row r="4" spans="1:3" x14ac:dyDescent="0.35">
      <c r="A4" s="5" t="s">
        <v>41</v>
      </c>
      <c r="B4" s="134" t="s">
        <v>263</v>
      </c>
      <c r="C4" s="141" t="s">
        <v>156</v>
      </c>
    </row>
    <row r="5" spans="1:3" x14ac:dyDescent="0.35">
      <c r="A5" s="5" t="s">
        <v>36</v>
      </c>
      <c r="B5" s="134" t="s">
        <v>37</v>
      </c>
      <c r="C5" s="141" t="s">
        <v>159</v>
      </c>
    </row>
    <row r="6" spans="1:3" x14ac:dyDescent="0.35">
      <c r="A6" s="5" t="s">
        <v>63</v>
      </c>
      <c r="B6" s="134" t="s">
        <v>43</v>
      </c>
      <c r="C6" s="141" t="s">
        <v>157</v>
      </c>
    </row>
    <row r="7" spans="1:3" x14ac:dyDescent="0.35">
      <c r="A7" s="5" t="s">
        <v>57</v>
      </c>
      <c r="B7" s="134" t="s">
        <v>50</v>
      </c>
      <c r="C7" s="141" t="s">
        <v>157</v>
      </c>
    </row>
    <row r="8" spans="1:3" ht="15" thickBot="1" x14ac:dyDescent="0.4">
      <c r="A8" s="6" t="s">
        <v>161</v>
      </c>
      <c r="B8" s="135" t="s">
        <v>51</v>
      </c>
      <c r="C8" s="142" t="s">
        <v>160</v>
      </c>
    </row>
    <row r="9" spans="1:3" x14ac:dyDescent="0.35">
      <c r="A9" s="44"/>
      <c r="B9" s="45"/>
    </row>
    <row r="12" spans="1:3" ht="15" thickBot="1" x14ac:dyDescent="0.4"/>
    <row r="13" spans="1:3" x14ac:dyDescent="0.35">
      <c r="A13" s="214" t="s">
        <v>52</v>
      </c>
      <c r="B13" s="215"/>
    </row>
    <row r="14" spans="1:3" x14ac:dyDescent="0.35">
      <c r="A14" s="216"/>
      <c r="B14" s="217"/>
    </row>
    <row r="15" spans="1:3" x14ac:dyDescent="0.35">
      <c r="A15" s="216"/>
      <c r="B15" s="217"/>
    </row>
    <row r="16" spans="1:3" x14ac:dyDescent="0.35">
      <c r="A16" s="216"/>
      <c r="B16" s="217"/>
    </row>
    <row r="17" spans="1:2" x14ac:dyDescent="0.35">
      <c r="A17" s="216"/>
      <c r="B17" s="217"/>
    </row>
    <row r="18" spans="1:2" x14ac:dyDescent="0.35">
      <c r="A18" s="216"/>
      <c r="B18" s="217"/>
    </row>
    <row r="19" spans="1:2" x14ac:dyDescent="0.35">
      <c r="A19" s="216"/>
      <c r="B19" s="217"/>
    </row>
    <row r="20" spans="1:2" x14ac:dyDescent="0.35">
      <c r="A20" s="216"/>
      <c r="B20" s="217"/>
    </row>
    <row r="21" spans="1:2" ht="15" thickBot="1" x14ac:dyDescent="0.4">
      <c r="A21" s="218"/>
      <c r="B21" s="219"/>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D26" sqref="D26"/>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182"/>
      <c r="N1" s="183"/>
      <c r="O1" s="223" t="s">
        <v>79</v>
      </c>
      <c r="P1" s="223"/>
      <c r="Q1" s="223"/>
      <c r="R1" s="223"/>
      <c r="S1" s="223"/>
      <c r="T1" s="223"/>
      <c r="U1" s="223"/>
      <c r="V1" s="223"/>
      <c r="W1" s="223"/>
      <c r="X1" s="223"/>
      <c r="Y1" s="223"/>
      <c r="Z1" s="223"/>
      <c r="AA1" s="223"/>
      <c r="AB1" s="223"/>
      <c r="AC1" s="223"/>
      <c r="AD1" s="223"/>
      <c r="AE1" s="223"/>
      <c r="AF1" s="223"/>
      <c r="AG1" s="223"/>
      <c r="AH1" s="224"/>
    </row>
    <row r="2" spans="2:34" ht="15" thickBot="1" x14ac:dyDescent="0.4">
      <c r="B2" s="157" t="s">
        <v>54</v>
      </c>
      <c r="C2" s="158"/>
      <c r="D2" s="159"/>
      <c r="G2" s="1"/>
      <c r="I2" t="s">
        <v>26</v>
      </c>
      <c r="J2" t="s">
        <v>70</v>
      </c>
      <c r="K2" t="s">
        <v>11</v>
      </c>
      <c r="L2" t="s">
        <v>78</v>
      </c>
      <c r="M2" s="18" t="s">
        <v>70</v>
      </c>
      <c r="N2" s="28">
        <f>C6</f>
        <v>22500</v>
      </c>
      <c r="O2" s="184" t="s">
        <v>170</v>
      </c>
      <c r="P2" s="29">
        <v>15000</v>
      </c>
      <c r="Q2" s="29">
        <v>17500</v>
      </c>
      <c r="R2" s="29">
        <v>20000</v>
      </c>
      <c r="S2" s="29">
        <v>22500</v>
      </c>
      <c r="T2" s="29">
        <v>25000</v>
      </c>
      <c r="U2" s="29">
        <v>27500</v>
      </c>
      <c r="V2" s="29">
        <v>30000</v>
      </c>
      <c r="W2" s="29">
        <v>32500</v>
      </c>
      <c r="X2" s="29">
        <v>35000</v>
      </c>
      <c r="Y2" s="29">
        <v>37500</v>
      </c>
      <c r="Z2" s="29">
        <v>40000</v>
      </c>
      <c r="AA2" s="29">
        <v>42500</v>
      </c>
      <c r="AB2" s="29">
        <v>45000</v>
      </c>
      <c r="AC2" s="29">
        <v>47500</v>
      </c>
      <c r="AD2" s="29">
        <v>50000</v>
      </c>
      <c r="AE2" s="29">
        <v>52500</v>
      </c>
      <c r="AF2" s="29">
        <v>55000</v>
      </c>
      <c r="AG2" s="29">
        <v>57500</v>
      </c>
      <c r="AH2" s="7">
        <v>60000</v>
      </c>
    </row>
    <row r="3" spans="2:34" x14ac:dyDescent="0.35">
      <c r="B3" s="46" t="s">
        <v>169</v>
      </c>
      <c r="C3" s="144">
        <v>46027</v>
      </c>
      <c r="D3" s="46" t="str">
        <f>IF(WEEKDAY(C3,11)&gt;1,"Not a Monday!","ATP starts on a Monday: OK! ")</f>
        <v xml:space="preserve">ATP starts on a Monday: OK! </v>
      </c>
      <c r="G3" s="1"/>
      <c r="I3" s="15">
        <v>2</v>
      </c>
      <c r="J3" s="15" t="s">
        <v>69</v>
      </c>
      <c r="K3" s="15"/>
      <c r="L3" s="15">
        <v>62.5</v>
      </c>
      <c r="M3" s="36" t="str">
        <f>J3</f>
        <v>Prep</v>
      </c>
      <c r="N3" s="37">
        <f>MROUND(HLOOKUP($N$2,$O$2:$AH$29,I3),10)</f>
        <v>360</v>
      </c>
      <c r="O3" s="186">
        <v>200</v>
      </c>
      <c r="P3" s="38">
        <f t="shared" ref="P3:Y12" si="0">P$2/$L3</f>
        <v>240</v>
      </c>
      <c r="Q3" s="38">
        <f t="shared" si="0"/>
        <v>280</v>
      </c>
      <c r="R3" s="38">
        <f t="shared" si="0"/>
        <v>320</v>
      </c>
      <c r="S3" s="38">
        <f t="shared" si="0"/>
        <v>360</v>
      </c>
      <c r="T3" s="38">
        <f t="shared" si="0"/>
        <v>400</v>
      </c>
      <c r="U3" s="38">
        <f t="shared" si="0"/>
        <v>440</v>
      </c>
      <c r="V3" s="38">
        <f t="shared" si="0"/>
        <v>480</v>
      </c>
      <c r="W3" s="38">
        <f t="shared" si="0"/>
        <v>520</v>
      </c>
      <c r="X3" s="38">
        <f t="shared" si="0"/>
        <v>560</v>
      </c>
      <c r="Y3" s="38">
        <f t="shared" si="0"/>
        <v>600</v>
      </c>
      <c r="Z3" s="38">
        <f t="shared" ref="Z3:AH12" si="1">Z$2/$L3</f>
        <v>640</v>
      </c>
      <c r="AA3" s="38">
        <f t="shared" si="1"/>
        <v>680</v>
      </c>
      <c r="AB3" s="38">
        <f t="shared" si="1"/>
        <v>720</v>
      </c>
      <c r="AC3" s="38">
        <f t="shared" si="1"/>
        <v>760</v>
      </c>
      <c r="AD3" s="38">
        <f t="shared" si="1"/>
        <v>800</v>
      </c>
      <c r="AE3" s="38">
        <f t="shared" si="1"/>
        <v>840</v>
      </c>
      <c r="AF3" s="38">
        <f t="shared" si="1"/>
        <v>880</v>
      </c>
      <c r="AG3" s="38">
        <f t="shared" si="1"/>
        <v>920</v>
      </c>
      <c r="AH3" s="37">
        <f t="shared" si="1"/>
        <v>960</v>
      </c>
    </row>
    <row r="4" spans="2:34" ht="15" thickBot="1" x14ac:dyDescent="0.4">
      <c r="B4" s="145" t="s">
        <v>162</v>
      </c>
      <c r="C4" s="143">
        <v>51</v>
      </c>
      <c r="D4" s="145" t="s">
        <v>163</v>
      </c>
      <c r="G4" s="1"/>
      <c r="I4" s="12">
        <f t="shared" ref="I4:I27" si="2">I3+1</f>
        <v>3</v>
      </c>
      <c r="J4" s="12" t="s">
        <v>71</v>
      </c>
      <c r="K4" s="12">
        <v>1</v>
      </c>
      <c r="L4" s="12">
        <v>53.571428571428569</v>
      </c>
      <c r="M4" s="21" t="str">
        <f t="shared" ref="M4:M22" si="3">J4&amp;"-"&amp;K4</f>
        <v>Base 1-1</v>
      </c>
      <c r="N4" s="22">
        <f t="shared" ref="N4:N27" si="4">MROUND(HLOOKUP($N$2,$O$2:$AH$29,I4),10)</f>
        <v>420</v>
      </c>
      <c r="O4" s="187">
        <v>210</v>
      </c>
      <c r="P4" s="12">
        <f t="shared" si="0"/>
        <v>280</v>
      </c>
      <c r="Q4" s="12">
        <f t="shared" si="0"/>
        <v>326.66666666666669</v>
      </c>
      <c r="R4" s="12">
        <f t="shared" si="0"/>
        <v>373.33333333333337</v>
      </c>
      <c r="S4" s="12">
        <f t="shared" si="0"/>
        <v>420</v>
      </c>
      <c r="T4" s="12">
        <f t="shared" si="0"/>
        <v>466.66666666666669</v>
      </c>
      <c r="U4" s="12">
        <f t="shared" si="0"/>
        <v>513.33333333333337</v>
      </c>
      <c r="V4" s="12">
        <f t="shared" si="0"/>
        <v>560</v>
      </c>
      <c r="W4" s="12">
        <f t="shared" si="0"/>
        <v>606.66666666666674</v>
      </c>
      <c r="X4" s="12">
        <f t="shared" si="0"/>
        <v>653.33333333333337</v>
      </c>
      <c r="Y4" s="12">
        <f t="shared" si="0"/>
        <v>700</v>
      </c>
      <c r="Z4" s="12">
        <f t="shared" si="1"/>
        <v>746.66666666666674</v>
      </c>
      <c r="AA4" s="12">
        <f t="shared" si="1"/>
        <v>793.33333333333337</v>
      </c>
      <c r="AB4" s="12">
        <f t="shared" si="1"/>
        <v>840</v>
      </c>
      <c r="AC4" s="12">
        <f t="shared" si="1"/>
        <v>886.66666666666674</v>
      </c>
      <c r="AD4" s="12">
        <f t="shared" si="1"/>
        <v>933.33333333333337</v>
      </c>
      <c r="AE4" s="12">
        <f t="shared" si="1"/>
        <v>980</v>
      </c>
      <c r="AF4" s="12">
        <f t="shared" si="1"/>
        <v>1026.6666666666667</v>
      </c>
      <c r="AG4" s="12">
        <f t="shared" si="1"/>
        <v>1073.3333333333335</v>
      </c>
      <c r="AH4" s="22">
        <f>AH$2/$L4</f>
        <v>1120</v>
      </c>
    </row>
    <row r="5" spans="2:34" ht="15" thickBot="1" x14ac:dyDescent="0.4">
      <c r="B5" s="47" t="s">
        <v>68</v>
      </c>
      <c r="C5" s="189">
        <f>C3-1+(C4*7)</f>
        <v>46383</v>
      </c>
      <c r="D5" s="47"/>
      <c r="G5" s="1"/>
      <c r="I5" s="12">
        <f t="shared" si="2"/>
        <v>4</v>
      </c>
      <c r="J5" s="12" t="s">
        <v>71</v>
      </c>
      <c r="K5" s="12">
        <v>2</v>
      </c>
      <c r="L5" s="12">
        <v>48.387096774193552</v>
      </c>
      <c r="M5" s="21" t="str">
        <f t="shared" si="3"/>
        <v>Base 1-2</v>
      </c>
      <c r="N5" s="22">
        <f t="shared" si="4"/>
        <v>460</v>
      </c>
      <c r="O5" s="187">
        <v>169</v>
      </c>
      <c r="P5" s="12">
        <f t="shared" si="0"/>
        <v>310</v>
      </c>
      <c r="Q5" s="12">
        <f t="shared" si="0"/>
        <v>361.66666666666663</v>
      </c>
      <c r="R5" s="12">
        <f t="shared" si="0"/>
        <v>413.33333333333331</v>
      </c>
      <c r="S5" s="12">
        <f t="shared" si="0"/>
        <v>464.99999999999994</v>
      </c>
      <c r="T5" s="12">
        <f t="shared" si="0"/>
        <v>516.66666666666663</v>
      </c>
      <c r="U5" s="12">
        <f t="shared" si="0"/>
        <v>568.33333333333326</v>
      </c>
      <c r="V5" s="12">
        <f t="shared" si="0"/>
        <v>620</v>
      </c>
      <c r="W5" s="12">
        <f t="shared" si="0"/>
        <v>671.66666666666663</v>
      </c>
      <c r="X5" s="12">
        <f t="shared" si="0"/>
        <v>723.33333333333326</v>
      </c>
      <c r="Y5" s="12">
        <f t="shared" si="0"/>
        <v>775</v>
      </c>
      <c r="Z5" s="12">
        <f t="shared" si="1"/>
        <v>826.66666666666663</v>
      </c>
      <c r="AA5" s="12">
        <f t="shared" si="1"/>
        <v>878.33333333333326</v>
      </c>
      <c r="AB5" s="12">
        <f t="shared" si="1"/>
        <v>929.99999999999989</v>
      </c>
      <c r="AC5" s="12">
        <f t="shared" si="1"/>
        <v>981.66666666666663</v>
      </c>
      <c r="AD5" s="12">
        <f t="shared" si="1"/>
        <v>1033.3333333333333</v>
      </c>
      <c r="AE5" s="12">
        <f t="shared" si="1"/>
        <v>1085</v>
      </c>
      <c r="AF5" s="12">
        <f t="shared" si="1"/>
        <v>1136.6666666666665</v>
      </c>
      <c r="AG5" s="12">
        <f t="shared" si="1"/>
        <v>1188.3333333333333</v>
      </c>
      <c r="AH5" s="22">
        <f t="shared" si="1"/>
        <v>1240</v>
      </c>
    </row>
    <row r="6" spans="2:34" x14ac:dyDescent="0.35">
      <c r="B6" s="47" t="s">
        <v>76</v>
      </c>
      <c r="C6" s="148">
        <v>22500</v>
      </c>
      <c r="D6" s="47" t="s">
        <v>82</v>
      </c>
      <c r="G6" s="1"/>
      <c r="I6" s="12">
        <f t="shared" si="2"/>
        <v>5</v>
      </c>
      <c r="J6" s="12" t="s">
        <v>71</v>
      </c>
      <c r="K6" s="12">
        <v>3</v>
      </c>
      <c r="L6" s="12">
        <v>42.857142857142854</v>
      </c>
      <c r="M6" s="21" t="str">
        <f t="shared" si="3"/>
        <v>Base 1-3</v>
      </c>
      <c r="N6" s="22">
        <f t="shared" si="4"/>
        <v>530</v>
      </c>
      <c r="O6" s="187">
        <v>200</v>
      </c>
      <c r="P6" s="12">
        <f t="shared" si="0"/>
        <v>350</v>
      </c>
      <c r="Q6" s="12">
        <f t="shared" si="0"/>
        <v>408.33333333333337</v>
      </c>
      <c r="R6" s="12">
        <f t="shared" si="0"/>
        <v>466.66666666666669</v>
      </c>
      <c r="S6" s="12">
        <f t="shared" si="0"/>
        <v>525</v>
      </c>
      <c r="T6" s="12">
        <f t="shared" si="0"/>
        <v>583.33333333333337</v>
      </c>
      <c r="U6" s="12">
        <f t="shared" si="0"/>
        <v>641.66666666666674</v>
      </c>
      <c r="V6" s="12">
        <f t="shared" si="0"/>
        <v>700</v>
      </c>
      <c r="W6" s="12">
        <f t="shared" si="0"/>
        <v>758.33333333333337</v>
      </c>
      <c r="X6" s="12">
        <f t="shared" si="0"/>
        <v>816.66666666666674</v>
      </c>
      <c r="Y6" s="12">
        <f t="shared" si="0"/>
        <v>875.00000000000011</v>
      </c>
      <c r="Z6" s="12">
        <f t="shared" si="1"/>
        <v>933.33333333333337</v>
      </c>
      <c r="AA6" s="12">
        <f t="shared" si="1"/>
        <v>991.66666666666674</v>
      </c>
      <c r="AB6" s="12">
        <f t="shared" si="1"/>
        <v>1050</v>
      </c>
      <c r="AC6" s="12">
        <f t="shared" si="1"/>
        <v>1108.3333333333335</v>
      </c>
      <c r="AD6" s="12">
        <f t="shared" si="1"/>
        <v>1166.6666666666667</v>
      </c>
      <c r="AE6" s="12">
        <f t="shared" si="1"/>
        <v>1225</v>
      </c>
      <c r="AF6" s="12">
        <f t="shared" si="1"/>
        <v>1283.3333333333335</v>
      </c>
      <c r="AG6" s="12">
        <f t="shared" si="1"/>
        <v>1341.6666666666667</v>
      </c>
      <c r="AH6" s="22">
        <f t="shared" si="1"/>
        <v>1400</v>
      </c>
    </row>
    <row r="7" spans="2:34" x14ac:dyDescent="0.35">
      <c r="B7" s="47" t="s">
        <v>91</v>
      </c>
      <c r="C7" s="148">
        <v>0</v>
      </c>
      <c r="D7" s="47" t="s">
        <v>86</v>
      </c>
      <c r="G7" s="1"/>
      <c r="I7" s="12">
        <f t="shared" si="2"/>
        <v>6</v>
      </c>
      <c r="J7" s="12" t="s">
        <v>71</v>
      </c>
      <c r="K7" s="12">
        <v>4</v>
      </c>
      <c r="L7" s="12">
        <v>62.5</v>
      </c>
      <c r="M7" s="21" t="str">
        <f t="shared" si="3"/>
        <v>Base 1-4</v>
      </c>
      <c r="N7" s="22">
        <f t="shared" si="4"/>
        <v>360</v>
      </c>
      <c r="O7" s="187">
        <v>300</v>
      </c>
      <c r="P7" s="12">
        <f t="shared" si="0"/>
        <v>240</v>
      </c>
      <c r="Q7" s="12">
        <f t="shared" si="0"/>
        <v>280</v>
      </c>
      <c r="R7" s="12">
        <f t="shared" si="0"/>
        <v>320</v>
      </c>
      <c r="S7" s="12">
        <f t="shared" si="0"/>
        <v>360</v>
      </c>
      <c r="T7" s="12">
        <f t="shared" si="0"/>
        <v>400</v>
      </c>
      <c r="U7" s="12">
        <f t="shared" si="0"/>
        <v>440</v>
      </c>
      <c r="V7" s="12">
        <f t="shared" si="0"/>
        <v>480</v>
      </c>
      <c r="W7" s="12">
        <f t="shared" si="0"/>
        <v>520</v>
      </c>
      <c r="X7" s="12">
        <f t="shared" si="0"/>
        <v>560</v>
      </c>
      <c r="Y7" s="12">
        <f t="shared" si="0"/>
        <v>600</v>
      </c>
      <c r="Z7" s="12">
        <f t="shared" si="1"/>
        <v>640</v>
      </c>
      <c r="AA7" s="12">
        <f t="shared" si="1"/>
        <v>680</v>
      </c>
      <c r="AB7" s="12">
        <f t="shared" si="1"/>
        <v>720</v>
      </c>
      <c r="AC7" s="12">
        <f t="shared" si="1"/>
        <v>760</v>
      </c>
      <c r="AD7" s="12">
        <f t="shared" si="1"/>
        <v>800</v>
      </c>
      <c r="AE7" s="12">
        <f t="shared" si="1"/>
        <v>840</v>
      </c>
      <c r="AF7" s="12">
        <f t="shared" si="1"/>
        <v>880</v>
      </c>
      <c r="AG7" s="12">
        <f t="shared" si="1"/>
        <v>920</v>
      </c>
      <c r="AH7" s="22">
        <f t="shared" si="1"/>
        <v>960</v>
      </c>
    </row>
    <row r="8" spans="2:34" ht="15" thickBot="1" x14ac:dyDescent="0.4">
      <c r="B8" s="48" t="s">
        <v>29</v>
      </c>
      <c r="C8" s="149">
        <v>70</v>
      </c>
      <c r="D8" s="48" t="s">
        <v>165</v>
      </c>
      <c r="G8" s="1"/>
      <c r="I8" s="13">
        <f>I7+1</f>
        <v>7</v>
      </c>
      <c r="J8" s="13" t="s">
        <v>72</v>
      </c>
      <c r="K8" s="13">
        <v>1</v>
      </c>
      <c r="L8" s="13">
        <v>51.724137931034484</v>
      </c>
      <c r="M8" s="23" t="str">
        <f t="shared" si="3"/>
        <v>Base 2-1</v>
      </c>
      <c r="N8" s="24">
        <f t="shared" si="4"/>
        <v>440</v>
      </c>
      <c r="O8" s="187">
        <v>400</v>
      </c>
      <c r="P8" s="13">
        <f t="shared" si="0"/>
        <v>290</v>
      </c>
      <c r="Q8" s="13">
        <f t="shared" si="0"/>
        <v>338.33333333333331</v>
      </c>
      <c r="R8" s="13">
        <f t="shared" si="0"/>
        <v>386.66666666666669</v>
      </c>
      <c r="S8" s="13">
        <f t="shared" si="0"/>
        <v>435</v>
      </c>
      <c r="T8" s="13">
        <f t="shared" si="0"/>
        <v>483.33333333333331</v>
      </c>
      <c r="U8" s="13">
        <f t="shared" si="0"/>
        <v>531.66666666666663</v>
      </c>
      <c r="V8" s="13">
        <f t="shared" si="0"/>
        <v>580</v>
      </c>
      <c r="W8" s="13">
        <f t="shared" si="0"/>
        <v>628.33333333333337</v>
      </c>
      <c r="X8" s="13">
        <f t="shared" si="0"/>
        <v>676.66666666666663</v>
      </c>
      <c r="Y8" s="13">
        <f t="shared" si="0"/>
        <v>725</v>
      </c>
      <c r="Z8" s="13">
        <f t="shared" si="1"/>
        <v>773.33333333333337</v>
      </c>
      <c r="AA8" s="13">
        <f t="shared" si="1"/>
        <v>821.66666666666663</v>
      </c>
      <c r="AB8" s="13">
        <f t="shared" si="1"/>
        <v>870</v>
      </c>
      <c r="AC8" s="13">
        <f t="shared" si="1"/>
        <v>918.33333333333326</v>
      </c>
      <c r="AD8" s="13">
        <f t="shared" si="1"/>
        <v>966.66666666666663</v>
      </c>
      <c r="AE8" s="13">
        <f t="shared" si="1"/>
        <v>1015</v>
      </c>
      <c r="AF8" s="13">
        <f t="shared" si="1"/>
        <v>1063.3333333333333</v>
      </c>
      <c r="AG8" s="13">
        <f t="shared" si="1"/>
        <v>1111.6666666666667</v>
      </c>
      <c r="AH8" s="24">
        <f t="shared" si="1"/>
        <v>1160</v>
      </c>
    </row>
    <row r="9" spans="2:34" ht="15" thickBot="1" x14ac:dyDescent="0.4">
      <c r="B9" s="160" t="s">
        <v>55</v>
      </c>
      <c r="C9" s="197">
        <f>C8/100</f>
        <v>0.7</v>
      </c>
      <c r="D9" s="160"/>
      <c r="G9" s="1"/>
      <c r="I9" s="13">
        <f t="shared" si="2"/>
        <v>8</v>
      </c>
      <c r="J9" s="13" t="s">
        <v>72</v>
      </c>
      <c r="K9" s="13">
        <v>2</v>
      </c>
      <c r="L9" s="13">
        <v>45.454545454545453</v>
      </c>
      <c r="M9" s="23" t="str">
        <f t="shared" si="3"/>
        <v>Base 2-2</v>
      </c>
      <c r="N9" s="24">
        <f t="shared" si="4"/>
        <v>500</v>
      </c>
      <c r="O9" s="187">
        <v>300</v>
      </c>
      <c r="P9" s="13">
        <f t="shared" si="0"/>
        <v>330</v>
      </c>
      <c r="Q9" s="13">
        <f t="shared" si="0"/>
        <v>385</v>
      </c>
      <c r="R9" s="13">
        <f t="shared" si="0"/>
        <v>440</v>
      </c>
      <c r="S9" s="13">
        <f t="shared" si="0"/>
        <v>495</v>
      </c>
      <c r="T9" s="13">
        <f t="shared" si="0"/>
        <v>550</v>
      </c>
      <c r="U9" s="13">
        <f t="shared" si="0"/>
        <v>605</v>
      </c>
      <c r="V9" s="13">
        <f t="shared" si="0"/>
        <v>660</v>
      </c>
      <c r="W9" s="13">
        <f t="shared" si="0"/>
        <v>715</v>
      </c>
      <c r="X9" s="13">
        <f t="shared" si="0"/>
        <v>770</v>
      </c>
      <c r="Y9" s="13">
        <f t="shared" si="0"/>
        <v>825</v>
      </c>
      <c r="Z9" s="13">
        <f t="shared" si="1"/>
        <v>880</v>
      </c>
      <c r="AA9" s="13">
        <f t="shared" si="1"/>
        <v>935</v>
      </c>
      <c r="AB9" s="13">
        <f t="shared" si="1"/>
        <v>990</v>
      </c>
      <c r="AC9" s="13">
        <f t="shared" si="1"/>
        <v>1045</v>
      </c>
      <c r="AD9" s="13">
        <f t="shared" si="1"/>
        <v>1100</v>
      </c>
      <c r="AE9" s="13">
        <f t="shared" si="1"/>
        <v>1155</v>
      </c>
      <c r="AF9" s="13">
        <f t="shared" si="1"/>
        <v>1210</v>
      </c>
      <c r="AG9" s="13">
        <f t="shared" si="1"/>
        <v>1265</v>
      </c>
      <c r="AH9" s="24">
        <f t="shared" si="1"/>
        <v>1320</v>
      </c>
    </row>
    <row r="10" spans="2:34" x14ac:dyDescent="0.35">
      <c r="B10" s="146" t="s">
        <v>164</v>
      </c>
      <c r="C10" s="147">
        <v>25</v>
      </c>
      <c r="D10" s="146" t="s">
        <v>80</v>
      </c>
      <c r="G10" s="1"/>
      <c r="I10" s="13">
        <f t="shared" si="2"/>
        <v>9</v>
      </c>
      <c r="J10" s="13" t="s">
        <v>72</v>
      </c>
      <c r="K10" s="13">
        <v>3</v>
      </c>
      <c r="L10" s="13">
        <v>40.54054054054054</v>
      </c>
      <c r="M10" s="23" t="str">
        <f t="shared" si="3"/>
        <v>Base 2-3</v>
      </c>
      <c r="N10" s="24">
        <f t="shared" si="4"/>
        <v>560</v>
      </c>
      <c r="O10" s="187">
        <v>100</v>
      </c>
      <c r="P10" s="13">
        <f t="shared" si="0"/>
        <v>370</v>
      </c>
      <c r="Q10" s="13">
        <f t="shared" si="0"/>
        <v>431.66666666666669</v>
      </c>
      <c r="R10" s="13">
        <f t="shared" si="0"/>
        <v>493.33333333333331</v>
      </c>
      <c r="S10" s="13">
        <f t="shared" si="0"/>
        <v>555</v>
      </c>
      <c r="T10" s="13">
        <f t="shared" si="0"/>
        <v>616.66666666666663</v>
      </c>
      <c r="U10" s="13">
        <f t="shared" si="0"/>
        <v>678.33333333333337</v>
      </c>
      <c r="V10" s="13">
        <f t="shared" si="0"/>
        <v>740</v>
      </c>
      <c r="W10" s="13">
        <f t="shared" si="0"/>
        <v>801.66666666666663</v>
      </c>
      <c r="X10" s="13">
        <f t="shared" si="0"/>
        <v>863.33333333333337</v>
      </c>
      <c r="Y10" s="13">
        <f t="shared" si="0"/>
        <v>925</v>
      </c>
      <c r="Z10" s="13">
        <f t="shared" si="1"/>
        <v>986.66666666666663</v>
      </c>
      <c r="AA10" s="13">
        <f t="shared" si="1"/>
        <v>1048.3333333333333</v>
      </c>
      <c r="AB10" s="13">
        <f t="shared" si="1"/>
        <v>1110</v>
      </c>
      <c r="AC10" s="13">
        <f t="shared" si="1"/>
        <v>1171.6666666666667</v>
      </c>
      <c r="AD10" s="13">
        <f t="shared" si="1"/>
        <v>1233.3333333333333</v>
      </c>
      <c r="AE10" s="13">
        <f t="shared" si="1"/>
        <v>1295</v>
      </c>
      <c r="AF10" s="13">
        <f t="shared" si="1"/>
        <v>1356.6666666666667</v>
      </c>
      <c r="AG10" s="13">
        <f t="shared" si="1"/>
        <v>1418.3333333333333</v>
      </c>
      <c r="AH10" s="24">
        <f t="shared" si="1"/>
        <v>1480</v>
      </c>
    </row>
    <row r="11" spans="2:34" ht="15" thickBot="1" x14ac:dyDescent="0.4">
      <c r="B11" s="49" t="s">
        <v>87</v>
      </c>
      <c r="C11" s="133">
        <v>50</v>
      </c>
      <c r="D11" s="49" t="s">
        <v>81</v>
      </c>
      <c r="G11" s="1"/>
      <c r="I11" s="13">
        <f t="shared" si="2"/>
        <v>10</v>
      </c>
      <c r="J11" s="13" t="s">
        <v>72</v>
      </c>
      <c r="K11" s="13">
        <v>4</v>
      </c>
      <c r="L11" s="13">
        <v>62.5</v>
      </c>
      <c r="M11" s="23" t="str">
        <f t="shared" si="3"/>
        <v>Base 2-4</v>
      </c>
      <c r="N11" s="24">
        <f t="shared" si="4"/>
        <v>360</v>
      </c>
      <c r="O11" s="187">
        <v>300</v>
      </c>
      <c r="P11" s="13">
        <f t="shared" si="0"/>
        <v>240</v>
      </c>
      <c r="Q11" s="13">
        <f t="shared" si="0"/>
        <v>280</v>
      </c>
      <c r="R11" s="13">
        <f t="shared" si="0"/>
        <v>320</v>
      </c>
      <c r="S11" s="13">
        <f t="shared" si="0"/>
        <v>360</v>
      </c>
      <c r="T11" s="13">
        <f t="shared" si="0"/>
        <v>400</v>
      </c>
      <c r="U11" s="13">
        <f t="shared" si="0"/>
        <v>440</v>
      </c>
      <c r="V11" s="13">
        <f t="shared" si="0"/>
        <v>480</v>
      </c>
      <c r="W11" s="13">
        <f t="shared" si="0"/>
        <v>520</v>
      </c>
      <c r="X11" s="13">
        <f t="shared" si="0"/>
        <v>560</v>
      </c>
      <c r="Y11" s="13">
        <f t="shared" si="0"/>
        <v>600</v>
      </c>
      <c r="Z11" s="13">
        <f t="shared" si="1"/>
        <v>640</v>
      </c>
      <c r="AA11" s="13">
        <f t="shared" si="1"/>
        <v>680</v>
      </c>
      <c r="AB11" s="13">
        <f t="shared" si="1"/>
        <v>720</v>
      </c>
      <c r="AC11" s="13">
        <f t="shared" si="1"/>
        <v>760</v>
      </c>
      <c r="AD11" s="13">
        <f t="shared" si="1"/>
        <v>800</v>
      </c>
      <c r="AE11" s="13">
        <f t="shared" si="1"/>
        <v>840</v>
      </c>
      <c r="AF11" s="13">
        <f t="shared" si="1"/>
        <v>880</v>
      </c>
      <c r="AG11" s="13">
        <f t="shared" si="1"/>
        <v>920</v>
      </c>
      <c r="AH11" s="24">
        <f t="shared" si="1"/>
        <v>960</v>
      </c>
    </row>
    <row r="12" spans="2:34" ht="14.5" customHeight="1" x14ac:dyDescent="0.35">
      <c r="D12" s="220" t="s">
        <v>56</v>
      </c>
      <c r="G12" s="1"/>
      <c r="I12" s="12">
        <f t="shared" si="2"/>
        <v>11</v>
      </c>
      <c r="J12" s="12" t="s">
        <v>75</v>
      </c>
      <c r="K12" s="12">
        <v>1</v>
      </c>
      <c r="L12" s="12">
        <v>45.454545454545453</v>
      </c>
      <c r="M12" s="21" t="str">
        <f t="shared" si="3"/>
        <v>Base 3-1</v>
      </c>
      <c r="N12" s="22">
        <f t="shared" si="4"/>
        <v>500</v>
      </c>
      <c r="O12" s="187">
        <v>400</v>
      </c>
      <c r="P12" s="12">
        <f t="shared" si="0"/>
        <v>330</v>
      </c>
      <c r="Q12" s="12">
        <f t="shared" si="0"/>
        <v>385</v>
      </c>
      <c r="R12" s="12">
        <f t="shared" si="0"/>
        <v>440</v>
      </c>
      <c r="S12" s="12">
        <f t="shared" si="0"/>
        <v>495</v>
      </c>
      <c r="T12" s="12">
        <f t="shared" si="0"/>
        <v>550</v>
      </c>
      <c r="U12" s="12">
        <f t="shared" si="0"/>
        <v>605</v>
      </c>
      <c r="V12" s="12">
        <f t="shared" si="0"/>
        <v>660</v>
      </c>
      <c r="W12" s="12">
        <f t="shared" si="0"/>
        <v>715</v>
      </c>
      <c r="X12" s="12">
        <f t="shared" si="0"/>
        <v>770</v>
      </c>
      <c r="Y12" s="12">
        <f t="shared" si="0"/>
        <v>825</v>
      </c>
      <c r="Z12" s="12">
        <f t="shared" si="1"/>
        <v>880</v>
      </c>
      <c r="AA12" s="12">
        <f t="shared" si="1"/>
        <v>935</v>
      </c>
      <c r="AB12" s="12">
        <f t="shared" si="1"/>
        <v>990</v>
      </c>
      <c r="AC12" s="12">
        <f t="shared" si="1"/>
        <v>1045</v>
      </c>
      <c r="AD12" s="12">
        <f t="shared" si="1"/>
        <v>1100</v>
      </c>
      <c r="AE12" s="12">
        <f t="shared" si="1"/>
        <v>1155</v>
      </c>
      <c r="AF12" s="12">
        <f t="shared" si="1"/>
        <v>1210</v>
      </c>
      <c r="AG12" s="12">
        <f t="shared" si="1"/>
        <v>1265</v>
      </c>
      <c r="AH12" s="22">
        <f t="shared" si="1"/>
        <v>1320</v>
      </c>
    </row>
    <row r="13" spans="2:34" ht="14.5" customHeight="1" x14ac:dyDescent="0.35">
      <c r="D13" s="221"/>
      <c r="G13" s="1"/>
      <c r="I13" s="12">
        <f t="shared" si="2"/>
        <v>12</v>
      </c>
      <c r="J13" s="12" t="s">
        <v>75</v>
      </c>
      <c r="K13" s="12">
        <v>2</v>
      </c>
      <c r="L13" s="12">
        <v>40.54054054054054</v>
      </c>
      <c r="M13" s="21" t="str">
        <f t="shared" si="3"/>
        <v>Base 3-2</v>
      </c>
      <c r="N13" s="22">
        <f t="shared" si="4"/>
        <v>560</v>
      </c>
      <c r="O13" s="187">
        <v>300</v>
      </c>
      <c r="P13" s="12">
        <f t="shared" ref="P13:Y22" si="5">P$2/$L13</f>
        <v>370</v>
      </c>
      <c r="Q13" s="12">
        <f t="shared" si="5"/>
        <v>431.66666666666669</v>
      </c>
      <c r="R13" s="12">
        <f t="shared" si="5"/>
        <v>493.33333333333331</v>
      </c>
      <c r="S13" s="12">
        <f t="shared" si="5"/>
        <v>555</v>
      </c>
      <c r="T13" s="12">
        <f t="shared" si="5"/>
        <v>616.66666666666663</v>
      </c>
      <c r="U13" s="12">
        <f t="shared" si="5"/>
        <v>678.33333333333337</v>
      </c>
      <c r="V13" s="12">
        <f t="shared" si="5"/>
        <v>740</v>
      </c>
      <c r="W13" s="12">
        <f t="shared" si="5"/>
        <v>801.66666666666663</v>
      </c>
      <c r="X13" s="12">
        <f t="shared" si="5"/>
        <v>863.33333333333337</v>
      </c>
      <c r="Y13" s="12">
        <f t="shared" si="5"/>
        <v>925</v>
      </c>
      <c r="Z13" s="12">
        <f t="shared" ref="Z13:AH22" si="6">Z$2/$L13</f>
        <v>986.66666666666663</v>
      </c>
      <c r="AA13" s="12">
        <f t="shared" si="6"/>
        <v>1048.3333333333333</v>
      </c>
      <c r="AB13" s="12">
        <f t="shared" si="6"/>
        <v>1110</v>
      </c>
      <c r="AC13" s="12">
        <f t="shared" si="6"/>
        <v>1171.6666666666667</v>
      </c>
      <c r="AD13" s="12">
        <f t="shared" si="6"/>
        <v>1233.3333333333333</v>
      </c>
      <c r="AE13" s="12">
        <f t="shared" si="6"/>
        <v>1295</v>
      </c>
      <c r="AF13" s="12">
        <f t="shared" si="6"/>
        <v>1356.6666666666667</v>
      </c>
      <c r="AG13" s="12">
        <f t="shared" si="6"/>
        <v>1418.3333333333333</v>
      </c>
      <c r="AH13" s="22">
        <f t="shared" si="6"/>
        <v>1480</v>
      </c>
    </row>
    <row r="14" spans="2:34" ht="14.5" customHeight="1" x14ac:dyDescent="0.35">
      <c r="D14" s="221"/>
      <c r="G14" s="1"/>
      <c r="I14" s="12">
        <f t="shared" si="2"/>
        <v>13</v>
      </c>
      <c r="J14" s="12" t="s">
        <v>75</v>
      </c>
      <c r="K14" s="12">
        <v>3</v>
      </c>
      <c r="L14" s="12">
        <v>36.585365853658537</v>
      </c>
      <c r="M14" s="21" t="str">
        <f t="shared" si="3"/>
        <v>Base 3-3</v>
      </c>
      <c r="N14" s="22">
        <f t="shared" si="4"/>
        <v>620</v>
      </c>
      <c r="O14" s="187">
        <v>100</v>
      </c>
      <c r="P14" s="12">
        <f t="shared" si="5"/>
        <v>410</v>
      </c>
      <c r="Q14" s="12">
        <f t="shared" si="5"/>
        <v>478.33333333333331</v>
      </c>
      <c r="R14" s="12">
        <f t="shared" si="5"/>
        <v>546.66666666666663</v>
      </c>
      <c r="S14" s="12">
        <f t="shared" si="5"/>
        <v>615</v>
      </c>
      <c r="T14" s="12">
        <f t="shared" si="5"/>
        <v>683.33333333333337</v>
      </c>
      <c r="U14" s="12">
        <f t="shared" si="5"/>
        <v>751.66666666666663</v>
      </c>
      <c r="V14" s="12">
        <f t="shared" si="5"/>
        <v>820</v>
      </c>
      <c r="W14" s="12">
        <f t="shared" si="5"/>
        <v>888.33333333333337</v>
      </c>
      <c r="X14" s="12">
        <f t="shared" si="5"/>
        <v>956.66666666666663</v>
      </c>
      <c r="Y14" s="12">
        <f t="shared" si="5"/>
        <v>1025</v>
      </c>
      <c r="Z14" s="12">
        <f t="shared" si="6"/>
        <v>1093.3333333333333</v>
      </c>
      <c r="AA14" s="12">
        <f t="shared" si="6"/>
        <v>1161.6666666666667</v>
      </c>
      <c r="AB14" s="12">
        <f t="shared" si="6"/>
        <v>1230</v>
      </c>
      <c r="AC14" s="12">
        <f t="shared" si="6"/>
        <v>1298.3333333333333</v>
      </c>
      <c r="AD14" s="12">
        <f t="shared" si="6"/>
        <v>1366.6666666666667</v>
      </c>
      <c r="AE14" s="12">
        <f t="shared" si="6"/>
        <v>1435</v>
      </c>
      <c r="AF14" s="12">
        <f t="shared" si="6"/>
        <v>1503.3333333333333</v>
      </c>
      <c r="AG14" s="12">
        <f t="shared" si="6"/>
        <v>1571.6666666666667</v>
      </c>
      <c r="AH14" s="22">
        <f t="shared" si="6"/>
        <v>1640</v>
      </c>
    </row>
    <row r="15" spans="2:34" ht="14.5" customHeight="1" x14ac:dyDescent="0.35">
      <c r="D15" s="221"/>
      <c r="E15" s="17"/>
      <c r="F15" s="17"/>
      <c r="G15" s="1"/>
      <c r="H15" s="17"/>
      <c r="I15" s="12">
        <f t="shared" si="2"/>
        <v>14</v>
      </c>
      <c r="J15" s="12" t="s">
        <v>75</v>
      </c>
      <c r="K15" s="12">
        <v>4</v>
      </c>
      <c r="L15" s="12">
        <v>62.5</v>
      </c>
      <c r="M15" s="21" t="str">
        <f t="shared" si="3"/>
        <v>Base 3-4</v>
      </c>
      <c r="N15" s="22">
        <f t="shared" si="4"/>
        <v>360</v>
      </c>
      <c r="O15" s="187">
        <v>300</v>
      </c>
      <c r="P15" s="12">
        <f t="shared" si="5"/>
        <v>240</v>
      </c>
      <c r="Q15" s="12">
        <f t="shared" si="5"/>
        <v>280</v>
      </c>
      <c r="R15" s="12">
        <f t="shared" si="5"/>
        <v>320</v>
      </c>
      <c r="S15" s="12">
        <f t="shared" si="5"/>
        <v>360</v>
      </c>
      <c r="T15" s="12">
        <f t="shared" si="5"/>
        <v>400</v>
      </c>
      <c r="U15" s="12">
        <f t="shared" si="5"/>
        <v>440</v>
      </c>
      <c r="V15" s="12">
        <f t="shared" si="5"/>
        <v>480</v>
      </c>
      <c r="W15" s="12">
        <f t="shared" si="5"/>
        <v>520</v>
      </c>
      <c r="X15" s="12">
        <f t="shared" si="5"/>
        <v>560</v>
      </c>
      <c r="Y15" s="12">
        <f t="shared" si="5"/>
        <v>600</v>
      </c>
      <c r="Z15" s="12">
        <f t="shared" si="6"/>
        <v>640</v>
      </c>
      <c r="AA15" s="12">
        <f t="shared" si="6"/>
        <v>680</v>
      </c>
      <c r="AB15" s="12">
        <f t="shared" si="6"/>
        <v>720</v>
      </c>
      <c r="AC15" s="12">
        <f t="shared" si="6"/>
        <v>760</v>
      </c>
      <c r="AD15" s="12">
        <f t="shared" si="6"/>
        <v>800</v>
      </c>
      <c r="AE15" s="12">
        <f t="shared" si="6"/>
        <v>840</v>
      </c>
      <c r="AF15" s="12">
        <f t="shared" si="6"/>
        <v>880</v>
      </c>
      <c r="AG15" s="12">
        <f t="shared" si="6"/>
        <v>920</v>
      </c>
      <c r="AH15" s="22">
        <f t="shared" si="6"/>
        <v>960</v>
      </c>
    </row>
    <row r="16" spans="2:34" ht="14.5" customHeight="1" x14ac:dyDescent="0.35">
      <c r="D16" s="221"/>
      <c r="E16" s="17"/>
      <c r="F16" s="17"/>
      <c r="G16" s="1"/>
      <c r="H16" s="17"/>
      <c r="I16" s="13">
        <f t="shared" si="2"/>
        <v>15</v>
      </c>
      <c r="J16" s="13" t="s">
        <v>73</v>
      </c>
      <c r="K16" s="13">
        <v>1</v>
      </c>
      <c r="L16" s="13">
        <v>40.54054054054054</v>
      </c>
      <c r="M16" s="23" t="str">
        <f t="shared" si="3"/>
        <v>Build 1-1</v>
      </c>
      <c r="N16" s="24">
        <f t="shared" si="4"/>
        <v>560</v>
      </c>
      <c r="O16" s="187">
        <v>400</v>
      </c>
      <c r="P16" s="13">
        <f t="shared" si="5"/>
        <v>370</v>
      </c>
      <c r="Q16" s="13">
        <f t="shared" si="5"/>
        <v>431.66666666666669</v>
      </c>
      <c r="R16" s="13">
        <f t="shared" si="5"/>
        <v>493.33333333333331</v>
      </c>
      <c r="S16" s="13">
        <f t="shared" si="5"/>
        <v>555</v>
      </c>
      <c r="T16" s="13">
        <f t="shared" si="5"/>
        <v>616.66666666666663</v>
      </c>
      <c r="U16" s="13">
        <f t="shared" si="5"/>
        <v>678.33333333333337</v>
      </c>
      <c r="V16" s="13">
        <f t="shared" si="5"/>
        <v>740</v>
      </c>
      <c r="W16" s="13">
        <f t="shared" si="5"/>
        <v>801.66666666666663</v>
      </c>
      <c r="X16" s="13">
        <f t="shared" si="5"/>
        <v>863.33333333333337</v>
      </c>
      <c r="Y16" s="13">
        <f t="shared" si="5"/>
        <v>925</v>
      </c>
      <c r="Z16" s="13">
        <f t="shared" si="6"/>
        <v>986.66666666666663</v>
      </c>
      <c r="AA16" s="13">
        <f t="shared" si="6"/>
        <v>1048.3333333333333</v>
      </c>
      <c r="AB16" s="13">
        <f t="shared" si="6"/>
        <v>1110</v>
      </c>
      <c r="AC16" s="13">
        <f t="shared" si="6"/>
        <v>1171.6666666666667</v>
      </c>
      <c r="AD16" s="13">
        <f t="shared" si="6"/>
        <v>1233.3333333333333</v>
      </c>
      <c r="AE16" s="13">
        <f t="shared" si="6"/>
        <v>1295</v>
      </c>
      <c r="AF16" s="13">
        <f t="shared" si="6"/>
        <v>1356.6666666666667</v>
      </c>
      <c r="AG16" s="13">
        <f t="shared" si="6"/>
        <v>1418.3333333333333</v>
      </c>
      <c r="AH16" s="24">
        <f t="shared" si="6"/>
        <v>1480</v>
      </c>
    </row>
    <row r="17" spans="4:34" ht="14.5" customHeight="1" x14ac:dyDescent="0.35">
      <c r="D17" s="221"/>
      <c r="E17" s="17"/>
      <c r="F17" s="17"/>
      <c r="G17" s="1"/>
      <c r="H17" s="17"/>
      <c r="I17" s="13">
        <f t="shared" si="2"/>
        <v>16</v>
      </c>
      <c r="J17" s="13" t="s">
        <v>73</v>
      </c>
      <c r="K17" s="13">
        <v>2</v>
      </c>
      <c r="L17" s="13">
        <v>40.54054054054054</v>
      </c>
      <c r="M17" s="23" t="str">
        <f t="shared" si="3"/>
        <v>Build 1-2</v>
      </c>
      <c r="N17" s="24">
        <f t="shared" si="4"/>
        <v>560</v>
      </c>
      <c r="O17" s="187">
        <v>300</v>
      </c>
      <c r="P17" s="13">
        <f t="shared" si="5"/>
        <v>370</v>
      </c>
      <c r="Q17" s="13">
        <f t="shared" si="5"/>
        <v>431.66666666666669</v>
      </c>
      <c r="R17" s="13">
        <f t="shared" si="5"/>
        <v>493.33333333333331</v>
      </c>
      <c r="S17" s="13">
        <f t="shared" si="5"/>
        <v>555</v>
      </c>
      <c r="T17" s="13">
        <f t="shared" si="5"/>
        <v>616.66666666666663</v>
      </c>
      <c r="U17" s="13">
        <f t="shared" si="5"/>
        <v>678.33333333333337</v>
      </c>
      <c r="V17" s="13">
        <f t="shared" si="5"/>
        <v>740</v>
      </c>
      <c r="W17" s="13">
        <f t="shared" si="5"/>
        <v>801.66666666666663</v>
      </c>
      <c r="X17" s="13">
        <f t="shared" si="5"/>
        <v>863.33333333333337</v>
      </c>
      <c r="Y17" s="13">
        <f t="shared" si="5"/>
        <v>925</v>
      </c>
      <c r="Z17" s="13">
        <f t="shared" si="6"/>
        <v>986.66666666666663</v>
      </c>
      <c r="AA17" s="13">
        <f t="shared" si="6"/>
        <v>1048.3333333333333</v>
      </c>
      <c r="AB17" s="13">
        <f t="shared" si="6"/>
        <v>1110</v>
      </c>
      <c r="AC17" s="13">
        <f t="shared" si="6"/>
        <v>1171.6666666666667</v>
      </c>
      <c r="AD17" s="13">
        <f t="shared" si="6"/>
        <v>1233.3333333333333</v>
      </c>
      <c r="AE17" s="13">
        <f t="shared" si="6"/>
        <v>1295</v>
      </c>
      <c r="AF17" s="13">
        <f t="shared" si="6"/>
        <v>1356.6666666666667</v>
      </c>
      <c r="AG17" s="13">
        <f t="shared" si="6"/>
        <v>1418.3333333333333</v>
      </c>
      <c r="AH17" s="24">
        <f t="shared" si="6"/>
        <v>1480</v>
      </c>
    </row>
    <row r="18" spans="4:34" ht="14.5" customHeight="1" thickBot="1" x14ac:dyDescent="0.4">
      <c r="D18" s="222"/>
      <c r="E18" s="17"/>
      <c r="F18" s="17"/>
      <c r="G18" s="1"/>
      <c r="H18" s="17"/>
      <c r="I18" s="13">
        <f t="shared" si="2"/>
        <v>17</v>
      </c>
      <c r="J18" s="13" t="s">
        <v>73</v>
      </c>
      <c r="K18" s="13">
        <v>3</v>
      </c>
      <c r="L18" s="13">
        <v>40.54054054054054</v>
      </c>
      <c r="M18" s="23" t="str">
        <f t="shared" si="3"/>
        <v>Build 1-3</v>
      </c>
      <c r="N18" s="24">
        <f t="shared" si="4"/>
        <v>560</v>
      </c>
      <c r="O18" s="187">
        <v>100</v>
      </c>
      <c r="P18" s="13">
        <f t="shared" si="5"/>
        <v>370</v>
      </c>
      <c r="Q18" s="13">
        <f t="shared" si="5"/>
        <v>431.66666666666669</v>
      </c>
      <c r="R18" s="13">
        <f t="shared" si="5"/>
        <v>493.33333333333331</v>
      </c>
      <c r="S18" s="13">
        <f t="shared" si="5"/>
        <v>555</v>
      </c>
      <c r="T18" s="13">
        <f t="shared" si="5"/>
        <v>616.66666666666663</v>
      </c>
      <c r="U18" s="13">
        <f t="shared" si="5"/>
        <v>678.33333333333337</v>
      </c>
      <c r="V18" s="13">
        <f t="shared" si="5"/>
        <v>740</v>
      </c>
      <c r="W18" s="13">
        <f t="shared" si="5"/>
        <v>801.66666666666663</v>
      </c>
      <c r="X18" s="13">
        <f t="shared" si="5"/>
        <v>863.33333333333337</v>
      </c>
      <c r="Y18" s="13">
        <f t="shared" si="5"/>
        <v>925</v>
      </c>
      <c r="Z18" s="13">
        <f t="shared" si="6"/>
        <v>986.66666666666663</v>
      </c>
      <c r="AA18" s="13">
        <f t="shared" si="6"/>
        <v>1048.3333333333333</v>
      </c>
      <c r="AB18" s="13">
        <f t="shared" si="6"/>
        <v>1110</v>
      </c>
      <c r="AC18" s="13">
        <f t="shared" si="6"/>
        <v>1171.6666666666667</v>
      </c>
      <c r="AD18" s="13">
        <f t="shared" si="6"/>
        <v>1233.3333333333333</v>
      </c>
      <c r="AE18" s="13">
        <f t="shared" si="6"/>
        <v>1295</v>
      </c>
      <c r="AF18" s="13">
        <f t="shared" si="6"/>
        <v>1356.6666666666667</v>
      </c>
      <c r="AG18" s="13">
        <f t="shared" si="6"/>
        <v>1418.3333333333333</v>
      </c>
      <c r="AH18" s="24">
        <f t="shared" si="6"/>
        <v>1480</v>
      </c>
    </row>
    <row r="19" spans="4:34" ht="14.5" customHeight="1" x14ac:dyDescent="0.35">
      <c r="E19" s="17"/>
      <c r="F19" s="17"/>
      <c r="G19" s="1"/>
      <c r="H19" s="17"/>
      <c r="I19" s="13">
        <f t="shared" si="2"/>
        <v>18</v>
      </c>
      <c r="J19" s="13" t="s">
        <v>73</v>
      </c>
      <c r="K19" s="13">
        <v>4</v>
      </c>
      <c r="L19" s="13">
        <v>62.5</v>
      </c>
      <c r="M19" s="23" t="str">
        <f t="shared" si="3"/>
        <v>Build 1-4</v>
      </c>
      <c r="N19" s="24">
        <f t="shared" si="4"/>
        <v>360</v>
      </c>
      <c r="O19" s="187">
        <v>300</v>
      </c>
      <c r="P19" s="13">
        <f t="shared" si="5"/>
        <v>240</v>
      </c>
      <c r="Q19" s="13">
        <f t="shared" si="5"/>
        <v>280</v>
      </c>
      <c r="R19" s="13">
        <f t="shared" si="5"/>
        <v>320</v>
      </c>
      <c r="S19" s="13">
        <f t="shared" si="5"/>
        <v>360</v>
      </c>
      <c r="T19" s="13">
        <f t="shared" si="5"/>
        <v>400</v>
      </c>
      <c r="U19" s="13">
        <f t="shared" si="5"/>
        <v>440</v>
      </c>
      <c r="V19" s="13">
        <f t="shared" si="5"/>
        <v>480</v>
      </c>
      <c r="W19" s="13">
        <f t="shared" si="5"/>
        <v>520</v>
      </c>
      <c r="X19" s="13">
        <f t="shared" si="5"/>
        <v>560</v>
      </c>
      <c r="Y19" s="13">
        <f t="shared" si="5"/>
        <v>600</v>
      </c>
      <c r="Z19" s="13">
        <f t="shared" si="6"/>
        <v>640</v>
      </c>
      <c r="AA19" s="13">
        <f t="shared" si="6"/>
        <v>680</v>
      </c>
      <c r="AB19" s="13">
        <f t="shared" si="6"/>
        <v>720</v>
      </c>
      <c r="AC19" s="13">
        <f t="shared" si="6"/>
        <v>760</v>
      </c>
      <c r="AD19" s="13">
        <f t="shared" si="6"/>
        <v>800</v>
      </c>
      <c r="AE19" s="13">
        <f t="shared" si="6"/>
        <v>840</v>
      </c>
      <c r="AF19" s="13">
        <f t="shared" si="6"/>
        <v>880</v>
      </c>
      <c r="AG19" s="13">
        <f t="shared" si="6"/>
        <v>920</v>
      </c>
      <c r="AH19" s="24">
        <f t="shared" si="6"/>
        <v>960</v>
      </c>
    </row>
    <row r="20" spans="4:34" ht="14.5" customHeight="1" x14ac:dyDescent="0.35">
      <c r="E20" s="17"/>
      <c r="F20" s="17"/>
      <c r="G20" s="1"/>
      <c r="H20" s="17"/>
      <c r="I20" s="12">
        <f t="shared" si="2"/>
        <v>19</v>
      </c>
      <c r="J20" s="12" t="s">
        <v>74</v>
      </c>
      <c r="K20" s="12">
        <v>1</v>
      </c>
      <c r="L20" s="12">
        <v>36.585365853658537</v>
      </c>
      <c r="M20" s="21" t="str">
        <f t="shared" si="3"/>
        <v>Build 2-1</v>
      </c>
      <c r="N20" s="22">
        <f t="shared" si="4"/>
        <v>620</v>
      </c>
      <c r="O20" s="187">
        <v>400</v>
      </c>
      <c r="P20" s="12">
        <f t="shared" si="5"/>
        <v>410</v>
      </c>
      <c r="Q20" s="12">
        <f t="shared" si="5"/>
        <v>478.33333333333331</v>
      </c>
      <c r="R20" s="12">
        <f t="shared" si="5"/>
        <v>546.66666666666663</v>
      </c>
      <c r="S20" s="12">
        <f t="shared" si="5"/>
        <v>615</v>
      </c>
      <c r="T20" s="12">
        <f t="shared" si="5"/>
        <v>683.33333333333337</v>
      </c>
      <c r="U20" s="12">
        <f t="shared" si="5"/>
        <v>751.66666666666663</v>
      </c>
      <c r="V20" s="12">
        <f t="shared" si="5"/>
        <v>820</v>
      </c>
      <c r="W20" s="12">
        <f t="shared" si="5"/>
        <v>888.33333333333337</v>
      </c>
      <c r="X20" s="12">
        <f t="shared" si="5"/>
        <v>956.66666666666663</v>
      </c>
      <c r="Y20" s="12">
        <f t="shared" si="5"/>
        <v>1025</v>
      </c>
      <c r="Z20" s="12">
        <f t="shared" si="6"/>
        <v>1093.3333333333333</v>
      </c>
      <c r="AA20" s="12">
        <f t="shared" si="6"/>
        <v>1161.6666666666667</v>
      </c>
      <c r="AB20" s="12">
        <f t="shared" si="6"/>
        <v>1230</v>
      </c>
      <c r="AC20" s="12">
        <f t="shared" si="6"/>
        <v>1298.3333333333333</v>
      </c>
      <c r="AD20" s="12">
        <f t="shared" si="6"/>
        <v>1366.6666666666667</v>
      </c>
      <c r="AE20" s="12">
        <f t="shared" si="6"/>
        <v>1435</v>
      </c>
      <c r="AF20" s="12">
        <f t="shared" si="6"/>
        <v>1503.3333333333333</v>
      </c>
      <c r="AG20" s="12">
        <f t="shared" si="6"/>
        <v>1571.6666666666667</v>
      </c>
      <c r="AH20" s="22">
        <f t="shared" si="6"/>
        <v>1640</v>
      </c>
    </row>
    <row r="21" spans="4:34" ht="15" customHeight="1" x14ac:dyDescent="0.35">
      <c r="E21" s="17"/>
      <c r="F21" s="17"/>
      <c r="G21" s="1"/>
      <c r="H21" s="17"/>
      <c r="I21" s="12">
        <f t="shared" si="2"/>
        <v>20</v>
      </c>
      <c r="J21" s="12" t="s">
        <v>74</v>
      </c>
      <c r="K21" s="12">
        <v>2</v>
      </c>
      <c r="L21" s="12">
        <v>36.585365853658537</v>
      </c>
      <c r="M21" s="21" t="str">
        <f t="shared" si="3"/>
        <v>Build 2-2</v>
      </c>
      <c r="N21" s="22">
        <f t="shared" si="4"/>
        <v>620</v>
      </c>
      <c r="O21" s="187">
        <v>300</v>
      </c>
      <c r="P21" s="12">
        <f t="shared" si="5"/>
        <v>410</v>
      </c>
      <c r="Q21" s="12">
        <f t="shared" si="5"/>
        <v>478.33333333333331</v>
      </c>
      <c r="R21" s="12">
        <f t="shared" si="5"/>
        <v>546.66666666666663</v>
      </c>
      <c r="S21" s="12">
        <f t="shared" si="5"/>
        <v>615</v>
      </c>
      <c r="T21" s="12">
        <f t="shared" si="5"/>
        <v>683.33333333333337</v>
      </c>
      <c r="U21" s="12">
        <f t="shared" si="5"/>
        <v>751.66666666666663</v>
      </c>
      <c r="V21" s="12">
        <f t="shared" si="5"/>
        <v>820</v>
      </c>
      <c r="W21" s="12">
        <f t="shared" si="5"/>
        <v>888.33333333333337</v>
      </c>
      <c r="X21" s="12">
        <f t="shared" si="5"/>
        <v>956.66666666666663</v>
      </c>
      <c r="Y21" s="12">
        <f t="shared" si="5"/>
        <v>1025</v>
      </c>
      <c r="Z21" s="12">
        <f t="shared" si="6"/>
        <v>1093.3333333333333</v>
      </c>
      <c r="AA21" s="12">
        <f t="shared" si="6"/>
        <v>1161.6666666666667</v>
      </c>
      <c r="AB21" s="12">
        <f t="shared" si="6"/>
        <v>1230</v>
      </c>
      <c r="AC21" s="12">
        <f t="shared" si="6"/>
        <v>1298.3333333333333</v>
      </c>
      <c r="AD21" s="12">
        <f t="shared" si="6"/>
        <v>1366.6666666666667</v>
      </c>
      <c r="AE21" s="12">
        <f t="shared" si="6"/>
        <v>1435</v>
      </c>
      <c r="AF21" s="12">
        <f t="shared" si="6"/>
        <v>1503.3333333333333</v>
      </c>
      <c r="AG21" s="12">
        <f t="shared" si="6"/>
        <v>1571.6666666666667</v>
      </c>
      <c r="AH21" s="22">
        <f t="shared" si="6"/>
        <v>1640</v>
      </c>
    </row>
    <row r="22" spans="4:34" ht="15" customHeight="1" x14ac:dyDescent="0.35">
      <c r="G22" s="1"/>
      <c r="I22" s="12">
        <f t="shared" si="2"/>
        <v>21</v>
      </c>
      <c r="J22" s="12" t="s">
        <v>74</v>
      </c>
      <c r="K22" s="12">
        <v>3</v>
      </c>
      <c r="L22" s="12">
        <v>36.585365853658537</v>
      </c>
      <c r="M22" s="21" t="str">
        <f t="shared" si="3"/>
        <v>Build 2-3</v>
      </c>
      <c r="N22" s="22">
        <f t="shared" si="4"/>
        <v>620</v>
      </c>
      <c r="O22" s="187">
        <v>100</v>
      </c>
      <c r="P22" s="12">
        <f t="shared" si="5"/>
        <v>410</v>
      </c>
      <c r="Q22" s="12">
        <f t="shared" si="5"/>
        <v>478.33333333333331</v>
      </c>
      <c r="R22" s="12">
        <f t="shared" si="5"/>
        <v>546.66666666666663</v>
      </c>
      <c r="S22" s="12">
        <f t="shared" si="5"/>
        <v>615</v>
      </c>
      <c r="T22" s="12">
        <f t="shared" si="5"/>
        <v>683.33333333333337</v>
      </c>
      <c r="U22" s="12">
        <f t="shared" si="5"/>
        <v>751.66666666666663</v>
      </c>
      <c r="V22" s="12">
        <f t="shared" si="5"/>
        <v>820</v>
      </c>
      <c r="W22" s="12">
        <f t="shared" si="5"/>
        <v>888.33333333333337</v>
      </c>
      <c r="X22" s="12">
        <f t="shared" si="5"/>
        <v>956.66666666666663</v>
      </c>
      <c r="Y22" s="12">
        <f t="shared" si="5"/>
        <v>1025</v>
      </c>
      <c r="Z22" s="12">
        <f t="shared" si="6"/>
        <v>1093.3333333333333</v>
      </c>
      <c r="AA22" s="12">
        <f t="shared" si="6"/>
        <v>1161.6666666666667</v>
      </c>
      <c r="AB22" s="12">
        <f t="shared" si="6"/>
        <v>1230</v>
      </c>
      <c r="AC22" s="12">
        <f t="shared" si="6"/>
        <v>1298.3333333333333</v>
      </c>
      <c r="AD22" s="12">
        <f t="shared" si="6"/>
        <v>1366.6666666666667</v>
      </c>
      <c r="AE22" s="12">
        <f t="shared" si="6"/>
        <v>1435</v>
      </c>
      <c r="AF22" s="12">
        <f t="shared" si="6"/>
        <v>1503.3333333333333</v>
      </c>
      <c r="AG22" s="12">
        <f t="shared" si="6"/>
        <v>1571.6666666666667</v>
      </c>
      <c r="AH22" s="22">
        <f t="shared" si="6"/>
        <v>1640</v>
      </c>
    </row>
    <row r="23" spans="4:34" x14ac:dyDescent="0.35">
      <c r="G23" s="1"/>
      <c r="I23" s="12">
        <f t="shared" si="2"/>
        <v>22</v>
      </c>
      <c r="J23" s="12" t="s">
        <v>74</v>
      </c>
      <c r="K23" s="12">
        <v>4</v>
      </c>
      <c r="L23" s="12">
        <v>62.5</v>
      </c>
      <c r="M23" s="21" t="str">
        <f>J23&amp;"-"&amp;K23</f>
        <v>Build 2-4</v>
      </c>
      <c r="N23" s="22">
        <f t="shared" si="4"/>
        <v>360</v>
      </c>
      <c r="O23" s="187">
        <v>100</v>
      </c>
      <c r="P23" s="12">
        <f t="shared" ref="P23:Y27" si="7">P$2/$L23</f>
        <v>240</v>
      </c>
      <c r="Q23" s="12">
        <f t="shared" si="7"/>
        <v>280</v>
      </c>
      <c r="R23" s="12">
        <f t="shared" si="7"/>
        <v>320</v>
      </c>
      <c r="S23" s="12">
        <f t="shared" si="7"/>
        <v>360</v>
      </c>
      <c r="T23" s="12">
        <f t="shared" si="7"/>
        <v>400</v>
      </c>
      <c r="U23" s="12">
        <f t="shared" si="7"/>
        <v>440</v>
      </c>
      <c r="V23" s="12">
        <f t="shared" si="7"/>
        <v>480</v>
      </c>
      <c r="W23" s="12">
        <f t="shared" si="7"/>
        <v>520</v>
      </c>
      <c r="X23" s="12">
        <f t="shared" si="7"/>
        <v>560</v>
      </c>
      <c r="Y23" s="12">
        <f t="shared" si="7"/>
        <v>600</v>
      </c>
      <c r="Z23" s="12">
        <f t="shared" ref="Z23:AH27" si="8">Z$2/$L23</f>
        <v>640</v>
      </c>
      <c r="AA23" s="12">
        <f t="shared" si="8"/>
        <v>680</v>
      </c>
      <c r="AB23" s="12">
        <f t="shared" si="8"/>
        <v>720</v>
      </c>
      <c r="AC23" s="12">
        <f t="shared" si="8"/>
        <v>760</v>
      </c>
      <c r="AD23" s="12">
        <f t="shared" si="8"/>
        <v>800</v>
      </c>
      <c r="AE23" s="12">
        <f t="shared" si="8"/>
        <v>840</v>
      </c>
      <c r="AF23" s="12">
        <f t="shared" si="8"/>
        <v>880</v>
      </c>
      <c r="AG23" s="12">
        <f t="shared" si="8"/>
        <v>920</v>
      </c>
      <c r="AH23" s="22">
        <f t="shared" si="8"/>
        <v>960</v>
      </c>
    </row>
    <row r="24" spans="4:34" x14ac:dyDescent="0.35">
      <c r="G24" s="1"/>
      <c r="I24" s="14">
        <f t="shared" si="2"/>
        <v>23</v>
      </c>
      <c r="J24" s="14" t="s">
        <v>4</v>
      </c>
      <c r="K24" s="14">
        <v>1</v>
      </c>
      <c r="L24" s="14">
        <v>51.724137931034484</v>
      </c>
      <c r="M24" s="25" t="s">
        <v>100</v>
      </c>
      <c r="N24" s="26">
        <f t="shared" si="4"/>
        <v>440</v>
      </c>
      <c r="O24" s="187">
        <v>300</v>
      </c>
      <c r="P24" s="14">
        <f t="shared" si="7"/>
        <v>290</v>
      </c>
      <c r="Q24" s="14">
        <f t="shared" si="7"/>
        <v>338.33333333333331</v>
      </c>
      <c r="R24" s="14">
        <f t="shared" si="7"/>
        <v>386.66666666666669</v>
      </c>
      <c r="S24" s="14">
        <f t="shared" si="7"/>
        <v>435</v>
      </c>
      <c r="T24" s="14">
        <f t="shared" si="7"/>
        <v>483.33333333333331</v>
      </c>
      <c r="U24" s="14">
        <f t="shared" si="7"/>
        <v>531.66666666666663</v>
      </c>
      <c r="V24" s="14">
        <f t="shared" si="7"/>
        <v>580</v>
      </c>
      <c r="W24" s="14">
        <f t="shared" si="7"/>
        <v>628.33333333333337</v>
      </c>
      <c r="X24" s="14">
        <f t="shared" si="7"/>
        <v>676.66666666666663</v>
      </c>
      <c r="Y24" s="14">
        <f t="shared" si="7"/>
        <v>725</v>
      </c>
      <c r="Z24" s="14">
        <f t="shared" si="8"/>
        <v>773.33333333333337</v>
      </c>
      <c r="AA24" s="14">
        <f t="shared" si="8"/>
        <v>821.66666666666663</v>
      </c>
      <c r="AB24" s="14">
        <f t="shared" si="8"/>
        <v>870</v>
      </c>
      <c r="AC24" s="14">
        <f t="shared" si="8"/>
        <v>918.33333333333326</v>
      </c>
      <c r="AD24" s="14">
        <f t="shared" si="8"/>
        <v>966.66666666666663</v>
      </c>
      <c r="AE24" s="14">
        <f t="shared" si="8"/>
        <v>1015</v>
      </c>
      <c r="AF24" s="14">
        <f t="shared" si="8"/>
        <v>1063.3333333333333</v>
      </c>
      <c r="AG24" s="14">
        <f t="shared" si="8"/>
        <v>1111.6666666666667</v>
      </c>
      <c r="AH24" s="26">
        <f t="shared" si="8"/>
        <v>1160</v>
      </c>
    </row>
    <row r="25" spans="4:34" x14ac:dyDescent="0.35">
      <c r="G25" s="1"/>
      <c r="I25" s="14">
        <f t="shared" si="2"/>
        <v>24</v>
      </c>
      <c r="J25" s="14" t="s">
        <v>4</v>
      </c>
      <c r="K25" s="14">
        <v>2</v>
      </c>
      <c r="L25" s="14">
        <v>62.5</v>
      </c>
      <c r="M25" s="25" t="s">
        <v>101</v>
      </c>
      <c r="N25" s="26">
        <f t="shared" si="4"/>
        <v>360</v>
      </c>
      <c r="O25" s="187">
        <v>400</v>
      </c>
      <c r="P25" s="14">
        <f t="shared" si="7"/>
        <v>240</v>
      </c>
      <c r="Q25" s="14">
        <f t="shared" si="7"/>
        <v>280</v>
      </c>
      <c r="R25" s="14">
        <f t="shared" si="7"/>
        <v>320</v>
      </c>
      <c r="S25" s="14">
        <f t="shared" si="7"/>
        <v>360</v>
      </c>
      <c r="T25" s="14">
        <f t="shared" si="7"/>
        <v>400</v>
      </c>
      <c r="U25" s="14">
        <f t="shared" si="7"/>
        <v>440</v>
      </c>
      <c r="V25" s="14">
        <f t="shared" si="7"/>
        <v>480</v>
      </c>
      <c r="W25" s="14">
        <f t="shared" si="7"/>
        <v>520</v>
      </c>
      <c r="X25" s="14">
        <f t="shared" si="7"/>
        <v>560</v>
      </c>
      <c r="Y25" s="14">
        <f t="shared" si="7"/>
        <v>600</v>
      </c>
      <c r="Z25" s="14">
        <f t="shared" si="8"/>
        <v>640</v>
      </c>
      <c r="AA25" s="14">
        <f t="shared" si="8"/>
        <v>680</v>
      </c>
      <c r="AB25" s="14">
        <f t="shared" si="8"/>
        <v>720</v>
      </c>
      <c r="AC25" s="14">
        <f t="shared" si="8"/>
        <v>760</v>
      </c>
      <c r="AD25" s="14">
        <f t="shared" si="8"/>
        <v>800</v>
      </c>
      <c r="AE25" s="14">
        <f t="shared" si="8"/>
        <v>840</v>
      </c>
      <c r="AF25" s="14">
        <f t="shared" si="8"/>
        <v>880</v>
      </c>
      <c r="AG25" s="14">
        <f t="shared" si="8"/>
        <v>920</v>
      </c>
      <c r="AH25" s="26">
        <f t="shared" si="8"/>
        <v>960</v>
      </c>
    </row>
    <row r="26" spans="4:34" x14ac:dyDescent="0.35">
      <c r="G26" s="1"/>
      <c r="I26" s="15">
        <f t="shared" si="2"/>
        <v>25</v>
      </c>
      <c r="J26" s="15" t="s">
        <v>1</v>
      </c>
      <c r="K26" s="15"/>
      <c r="L26" s="15">
        <v>62.5</v>
      </c>
      <c r="M26" s="19" t="s">
        <v>1</v>
      </c>
      <c r="N26" s="20">
        <f t="shared" si="4"/>
        <v>360</v>
      </c>
      <c r="O26" s="187">
        <v>300</v>
      </c>
      <c r="P26" s="15">
        <f t="shared" si="7"/>
        <v>240</v>
      </c>
      <c r="Q26" s="39">
        <f t="shared" si="7"/>
        <v>280</v>
      </c>
      <c r="R26" s="39">
        <f t="shared" si="7"/>
        <v>320</v>
      </c>
      <c r="S26" s="39">
        <f t="shared" si="7"/>
        <v>360</v>
      </c>
      <c r="T26" s="39">
        <f t="shared" si="7"/>
        <v>400</v>
      </c>
      <c r="U26" s="39">
        <f t="shared" si="7"/>
        <v>440</v>
      </c>
      <c r="V26" s="39">
        <f t="shared" si="7"/>
        <v>480</v>
      </c>
      <c r="W26" s="39">
        <f t="shared" si="7"/>
        <v>520</v>
      </c>
      <c r="X26" s="39">
        <f t="shared" si="7"/>
        <v>560</v>
      </c>
      <c r="Y26" s="39">
        <f t="shared" si="7"/>
        <v>600</v>
      </c>
      <c r="Z26" s="39">
        <f t="shared" si="8"/>
        <v>640</v>
      </c>
      <c r="AA26" s="39">
        <f t="shared" si="8"/>
        <v>680</v>
      </c>
      <c r="AB26" s="39">
        <f t="shared" si="8"/>
        <v>720</v>
      </c>
      <c r="AC26" s="39">
        <f t="shared" si="8"/>
        <v>760</v>
      </c>
      <c r="AD26" s="39">
        <f t="shared" si="8"/>
        <v>800</v>
      </c>
      <c r="AE26" s="39">
        <f t="shared" si="8"/>
        <v>840</v>
      </c>
      <c r="AF26" s="39">
        <f t="shared" si="8"/>
        <v>880</v>
      </c>
      <c r="AG26" s="39">
        <f t="shared" si="8"/>
        <v>920</v>
      </c>
      <c r="AH26" s="27">
        <f t="shared" si="8"/>
        <v>960</v>
      </c>
    </row>
    <row r="27" spans="4:34" ht="15" thickBot="1" x14ac:dyDescent="0.4">
      <c r="G27" s="1"/>
      <c r="I27" s="15">
        <f t="shared" si="2"/>
        <v>26</v>
      </c>
      <c r="J27" s="16" t="s">
        <v>77</v>
      </c>
      <c r="K27" s="16"/>
      <c r="L27" s="16">
        <v>100</v>
      </c>
      <c r="M27" s="40" t="s">
        <v>77</v>
      </c>
      <c r="N27" s="41">
        <f t="shared" si="4"/>
        <v>230</v>
      </c>
      <c r="O27" s="188">
        <v>100</v>
      </c>
      <c r="P27" s="42">
        <f t="shared" si="7"/>
        <v>150</v>
      </c>
      <c r="Q27" s="42">
        <f t="shared" si="7"/>
        <v>175</v>
      </c>
      <c r="R27" s="42">
        <f t="shared" si="7"/>
        <v>200</v>
      </c>
      <c r="S27" s="42">
        <f t="shared" si="7"/>
        <v>225</v>
      </c>
      <c r="T27" s="42">
        <f t="shared" si="7"/>
        <v>250</v>
      </c>
      <c r="U27" s="42">
        <f t="shared" si="7"/>
        <v>275</v>
      </c>
      <c r="V27" s="42">
        <f t="shared" si="7"/>
        <v>300</v>
      </c>
      <c r="W27" s="42">
        <f t="shared" si="7"/>
        <v>325</v>
      </c>
      <c r="X27" s="42">
        <f t="shared" si="7"/>
        <v>350</v>
      </c>
      <c r="Y27" s="42">
        <f t="shared" si="7"/>
        <v>375</v>
      </c>
      <c r="Z27" s="42">
        <f t="shared" si="8"/>
        <v>400</v>
      </c>
      <c r="AA27" s="42">
        <f t="shared" si="8"/>
        <v>425</v>
      </c>
      <c r="AB27" s="42">
        <f t="shared" si="8"/>
        <v>450</v>
      </c>
      <c r="AC27" s="42">
        <f t="shared" si="8"/>
        <v>475</v>
      </c>
      <c r="AD27" s="42">
        <f t="shared" si="8"/>
        <v>500</v>
      </c>
      <c r="AE27" s="42">
        <f t="shared" si="8"/>
        <v>525</v>
      </c>
      <c r="AF27" s="42">
        <f t="shared" si="8"/>
        <v>550</v>
      </c>
      <c r="AG27" s="42">
        <f t="shared" si="8"/>
        <v>575</v>
      </c>
      <c r="AH27" s="41">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T52"/>
  <sheetViews>
    <sheetView workbookViewId="0">
      <selection activeCell="M23" sqref="M23"/>
    </sheetView>
  </sheetViews>
  <sheetFormatPr defaultRowHeight="14.5" x14ac:dyDescent="0.35"/>
  <cols>
    <col min="1" max="1" width="3" customWidth="1"/>
    <col min="2" max="2" width="6.1796875" bestFit="1" customWidth="1"/>
    <col min="3" max="3" width="12.36328125" bestFit="1" customWidth="1"/>
    <col min="4" max="4" width="15.90625" hidden="1" customWidth="1"/>
    <col min="5" max="5" width="47.453125" bestFit="1" customWidth="1"/>
    <col min="6" max="6" width="11.54296875" customWidth="1"/>
    <col min="7" max="7" width="10.08984375" hidden="1" customWidth="1"/>
    <col min="16" max="16" width="1.7265625" customWidth="1"/>
    <col min="17" max="17" width="13.36328125" bestFit="1" customWidth="1"/>
    <col min="18" max="18" width="47.453125" bestFit="1" customWidth="1"/>
    <col min="19" max="19" width="15.08984375" bestFit="1" customWidth="1"/>
    <col min="20" max="20" width="11.54296875" bestFit="1" customWidth="1"/>
  </cols>
  <sheetData>
    <row r="1" spans="2:20" ht="15" thickBot="1" x14ac:dyDescent="0.4">
      <c r="C1" s="261" t="s">
        <v>261</v>
      </c>
      <c r="D1" s="262"/>
      <c r="E1" s="262"/>
      <c r="F1" s="263"/>
      <c r="Q1" s="264" t="s">
        <v>259</v>
      </c>
      <c r="R1" s="265"/>
      <c r="S1" s="265"/>
      <c r="T1" s="266"/>
    </row>
    <row r="2" spans="2:20" ht="15" thickBot="1" x14ac:dyDescent="0.4">
      <c r="B2" s="8" t="s">
        <v>26</v>
      </c>
      <c r="C2" s="258" t="s">
        <v>31</v>
      </c>
      <c r="D2" s="259" t="s">
        <v>89</v>
      </c>
      <c r="E2" s="258" t="s">
        <v>32</v>
      </c>
      <c r="F2" s="260" t="s">
        <v>33</v>
      </c>
      <c r="G2" s="45" t="s">
        <v>31</v>
      </c>
      <c r="H2" s="205" t="s">
        <v>168</v>
      </c>
      <c r="I2" s="206"/>
      <c r="J2" s="206"/>
      <c r="K2" s="206"/>
      <c r="L2" s="206"/>
      <c r="M2" s="206"/>
      <c r="N2" s="206"/>
      <c r="O2" s="207"/>
      <c r="Q2" s="267" t="str">
        <f>Races!A1</f>
        <v>date</v>
      </c>
      <c r="R2" s="204" t="str">
        <f>Races!B1</f>
        <v>racename</v>
      </c>
      <c r="S2" s="204" t="str">
        <f>Races!C1</f>
        <v>racetype</v>
      </c>
      <c r="T2" s="268" t="str">
        <f>Races!D1</f>
        <v>racecategory</v>
      </c>
    </row>
    <row r="3" spans="2:20" x14ac:dyDescent="0.35">
      <c r="B3" s="43">
        <v>1</v>
      </c>
      <c r="C3" s="249">
        <v>46139</v>
      </c>
      <c r="D3" s="250" t="str">
        <f t="shared" ref="D3:D34" si="0">WEEKNUM(C3)&amp;"-"&amp;YEAR(C3)</f>
        <v>18-2026</v>
      </c>
      <c r="E3" s="251" t="s">
        <v>180</v>
      </c>
      <c r="F3" s="252" t="s">
        <v>3</v>
      </c>
      <c r="G3" s="2">
        <f>C3</f>
        <v>46139</v>
      </c>
      <c r="H3" s="208"/>
      <c r="I3" s="209"/>
      <c r="J3" s="209"/>
      <c r="K3" s="209"/>
      <c r="L3" s="209"/>
      <c r="M3" s="209"/>
      <c r="N3" s="209"/>
      <c r="O3" s="210"/>
      <c r="Q3" s="269">
        <f>Races!A2</f>
        <v>46151.416666666664</v>
      </c>
      <c r="R3" s="195" t="str">
        <f>Races!B2</f>
        <v>GO triatlon Brouwersdam</v>
      </c>
      <c r="S3" s="195" t="str">
        <f>Races!C2</f>
        <v>Ride</v>
      </c>
      <c r="T3" s="10" t="str">
        <f>Races!D2</f>
        <v>A</v>
      </c>
    </row>
    <row r="4" spans="2:20" x14ac:dyDescent="0.35">
      <c r="B4" s="5">
        <v>2</v>
      </c>
      <c r="C4" s="253">
        <v>46144</v>
      </c>
      <c r="D4" s="250" t="str">
        <f t="shared" si="0"/>
        <v>18-2026</v>
      </c>
      <c r="E4" s="254" t="s">
        <v>181</v>
      </c>
      <c r="F4" s="255" t="s">
        <v>3</v>
      </c>
      <c r="G4" s="2">
        <f t="shared" ref="G4:G52" si="1">C4</f>
        <v>46144</v>
      </c>
      <c r="H4" s="208"/>
      <c r="I4" s="209"/>
      <c r="J4" s="209"/>
      <c r="K4" s="209"/>
      <c r="L4" s="209"/>
      <c r="M4" s="209"/>
      <c r="N4" s="209"/>
      <c r="O4" s="210"/>
      <c r="Q4" s="269">
        <f>Races!A3</f>
        <v>46139.458333333336</v>
      </c>
      <c r="R4" s="195" t="str">
        <f>Races!B3</f>
        <v>Koningsloop Moordrecht</v>
      </c>
      <c r="S4" s="195" t="str">
        <f>Races!C3</f>
        <v>Run</v>
      </c>
      <c r="T4" s="10" t="str">
        <f>Races!D3</f>
        <v>B</v>
      </c>
    </row>
    <row r="5" spans="2:20" x14ac:dyDescent="0.35">
      <c r="B5" s="5">
        <v>3</v>
      </c>
      <c r="C5" s="253">
        <v>46151</v>
      </c>
      <c r="D5" s="250" t="str">
        <f t="shared" si="0"/>
        <v>19-2026</v>
      </c>
      <c r="E5" s="254" t="s">
        <v>92</v>
      </c>
      <c r="F5" s="255" t="s">
        <v>2</v>
      </c>
      <c r="G5" s="2">
        <f t="shared" si="1"/>
        <v>46151</v>
      </c>
      <c r="H5" s="208"/>
      <c r="I5" s="209"/>
      <c r="J5" s="209"/>
      <c r="K5" s="209"/>
      <c r="L5" s="209"/>
      <c r="M5" s="209"/>
      <c r="N5" s="209"/>
      <c r="O5" s="210"/>
      <c r="Q5" s="269">
        <f>Races!A4</f>
        <v>46176.833333333336</v>
      </c>
      <c r="R5" s="195" t="str">
        <f>Races!B4</f>
        <v>Teamtijdrict Recreanten Jan van Arckel</v>
      </c>
      <c r="S5" s="195" t="str">
        <f>Races!C4</f>
        <v>Ride</v>
      </c>
      <c r="T5" s="10" t="str">
        <f>Races!D4</f>
        <v>B</v>
      </c>
    </row>
    <row r="6" spans="2:20" x14ac:dyDescent="0.35">
      <c r="B6" s="5">
        <v>4</v>
      </c>
      <c r="C6" s="253">
        <v>46176</v>
      </c>
      <c r="D6" s="250" t="str">
        <f t="shared" si="0"/>
        <v>23-2026</v>
      </c>
      <c r="E6" s="254" t="s">
        <v>182</v>
      </c>
      <c r="F6" s="255" t="s">
        <v>0</v>
      </c>
      <c r="G6" s="2">
        <f t="shared" si="1"/>
        <v>46176</v>
      </c>
      <c r="H6" s="208"/>
      <c r="I6" s="209"/>
      <c r="J6" s="209"/>
      <c r="K6" s="209"/>
      <c r="L6" s="209"/>
      <c r="M6" s="209"/>
      <c r="N6" s="209"/>
      <c r="O6" s="210"/>
      <c r="Q6" s="269">
        <f>Races!A5</f>
        <v>46179.5</v>
      </c>
      <c r="R6" s="195" t="str">
        <f>Races!B5</f>
        <v>Uilentorenloop</v>
      </c>
      <c r="S6" s="195" t="str">
        <f>Races!C5</f>
        <v>TrailRun</v>
      </c>
      <c r="T6" s="10" t="str">
        <f>Races!D5</f>
        <v>B</v>
      </c>
    </row>
    <row r="7" spans="2:20" x14ac:dyDescent="0.35">
      <c r="B7" s="5">
        <v>5</v>
      </c>
      <c r="C7" s="253">
        <v>46179</v>
      </c>
      <c r="D7" s="250" t="str">
        <f t="shared" si="0"/>
        <v>23-2026</v>
      </c>
      <c r="E7" s="254" t="s">
        <v>93</v>
      </c>
      <c r="F7" s="255" t="s">
        <v>3</v>
      </c>
      <c r="G7" s="2">
        <f t="shared" si="1"/>
        <v>46179</v>
      </c>
      <c r="H7" s="208"/>
      <c r="I7" s="209"/>
      <c r="J7" s="209"/>
      <c r="K7" s="209"/>
      <c r="L7" s="209"/>
      <c r="M7" s="209"/>
      <c r="N7" s="209"/>
      <c r="O7" s="210"/>
      <c r="Q7" s="269">
        <f>Races!A6</f>
        <v>46256.458333333336</v>
      </c>
      <c r="R7" s="195" t="str">
        <f>Races!B6</f>
        <v>De 42e editie Kwart(je) &amp; Trio Triathlon Anna Paulowna</v>
      </c>
      <c r="S7" s="195" t="str">
        <f>Races!C6</f>
        <v>OpenWaterSwim</v>
      </c>
      <c r="T7" s="10" t="str">
        <f>Races!D6</f>
        <v>B</v>
      </c>
    </row>
    <row r="8" spans="2:20" x14ac:dyDescent="0.35">
      <c r="B8" s="5">
        <v>6</v>
      </c>
      <c r="C8" s="253">
        <v>46256</v>
      </c>
      <c r="D8" s="250" t="str">
        <f t="shared" si="0"/>
        <v>34-2026</v>
      </c>
      <c r="E8" s="254" t="s">
        <v>154</v>
      </c>
      <c r="F8" s="255" t="s">
        <v>0</v>
      </c>
      <c r="G8" s="2">
        <f t="shared" si="1"/>
        <v>46256</v>
      </c>
      <c r="H8" s="208"/>
      <c r="I8" s="209"/>
      <c r="J8" s="209"/>
      <c r="K8" s="209"/>
      <c r="L8" s="209"/>
      <c r="M8" s="209"/>
      <c r="N8" s="209"/>
      <c r="O8" s="210"/>
      <c r="Q8" s="269">
        <f>Races!A7</f>
        <v>46284.40625</v>
      </c>
      <c r="R8" s="195" t="str">
        <f>Races!B7</f>
        <v>Heuvelrug Triathlon</v>
      </c>
      <c r="S8" s="195" t="str">
        <f>Races!C7</f>
        <v>Ride</v>
      </c>
      <c r="T8" s="10" t="str">
        <f>Races!D7</f>
        <v>B</v>
      </c>
    </row>
    <row r="9" spans="2:20" x14ac:dyDescent="0.35">
      <c r="B9" s="5">
        <v>7</v>
      </c>
      <c r="C9" s="253">
        <v>46284</v>
      </c>
      <c r="D9" s="250" t="str">
        <f t="shared" si="0"/>
        <v>38-2026</v>
      </c>
      <c r="E9" s="254" t="s">
        <v>260</v>
      </c>
      <c r="F9" s="255" t="s">
        <v>2</v>
      </c>
      <c r="G9" s="2">
        <f t="shared" si="1"/>
        <v>46284</v>
      </c>
      <c r="H9" s="208"/>
      <c r="I9" s="209"/>
      <c r="J9" s="209"/>
      <c r="K9" s="209"/>
      <c r="L9" s="209"/>
      <c r="M9" s="209"/>
      <c r="N9" s="209"/>
      <c r="O9" s="210"/>
      <c r="Q9" s="269">
        <f>Races!A8</f>
        <v>46307</v>
      </c>
      <c r="R9" s="195" t="str">
        <f>Races!B8</f>
        <v>Goudasfaltloop</v>
      </c>
      <c r="S9" s="195" t="str">
        <f>Races!C8</f>
        <v>Run</v>
      </c>
      <c r="T9" s="10" t="str">
        <f>Races!D8</f>
        <v>B</v>
      </c>
    </row>
    <row r="10" spans="2:20" ht="15" thickBot="1" x14ac:dyDescent="0.4">
      <c r="B10" s="5">
        <v>8</v>
      </c>
      <c r="C10" s="253">
        <v>46307</v>
      </c>
      <c r="D10" s="250" t="str">
        <f t="shared" si="0"/>
        <v>42-2026</v>
      </c>
      <c r="E10" s="254" t="s">
        <v>183</v>
      </c>
      <c r="F10" s="255" t="s">
        <v>0</v>
      </c>
      <c r="G10" s="2">
        <f t="shared" si="1"/>
        <v>46307</v>
      </c>
      <c r="H10" s="211"/>
      <c r="I10" s="212"/>
      <c r="J10" s="212"/>
      <c r="K10" s="212"/>
      <c r="L10" s="212"/>
      <c r="M10" s="212"/>
      <c r="N10" s="212"/>
      <c r="O10" s="213"/>
      <c r="Q10" s="269">
        <f>Races!A9</f>
        <v>46040</v>
      </c>
      <c r="R10" s="195" t="str">
        <f>Races!B9</f>
        <v>OHRJ Midwinterloop</v>
      </c>
      <c r="S10" s="195" t="str">
        <f>Races!C9</f>
        <v>Walk</v>
      </c>
      <c r="T10" s="10" t="str">
        <f>Races!D9</f>
        <v>C</v>
      </c>
    </row>
    <row r="11" spans="2:20" x14ac:dyDescent="0.35">
      <c r="B11" s="5">
        <v>8</v>
      </c>
      <c r="C11" s="253"/>
      <c r="D11" s="250" t="str">
        <f t="shared" si="0"/>
        <v>0-1900</v>
      </c>
      <c r="E11" s="254"/>
      <c r="F11" s="255"/>
      <c r="G11" s="2">
        <f t="shared" si="1"/>
        <v>0</v>
      </c>
      <c r="Q11" s="269">
        <f>Races!A10</f>
        <v>46145</v>
      </c>
      <c r="R11" s="195" t="str">
        <f>Races!B10</f>
        <v>Gymrace Utrecht met Arjan</v>
      </c>
      <c r="S11" s="195" t="str">
        <f>Races!C10</f>
        <v>Workout</v>
      </c>
      <c r="T11" s="10" t="str">
        <f>Races!D10</f>
        <v>C</v>
      </c>
    </row>
    <row r="12" spans="2:20" x14ac:dyDescent="0.35">
      <c r="B12" s="5">
        <v>9</v>
      </c>
      <c r="C12" s="253"/>
      <c r="D12" s="250" t="str">
        <f t="shared" si="0"/>
        <v>0-1900</v>
      </c>
      <c r="E12" s="254"/>
      <c r="F12" s="255"/>
      <c r="G12" s="2">
        <f t="shared" si="1"/>
        <v>0</v>
      </c>
      <c r="Q12" s="269">
        <f>Races!A11</f>
        <v>0</v>
      </c>
      <c r="R12" s="195">
        <f>Races!B11</f>
        <v>0</v>
      </c>
      <c r="S12" s="195">
        <f>Races!C11</f>
        <v>0</v>
      </c>
      <c r="T12" s="10">
        <f>Races!D11</f>
        <v>0</v>
      </c>
    </row>
    <row r="13" spans="2:20" x14ac:dyDescent="0.35">
      <c r="B13" s="5">
        <v>10</v>
      </c>
      <c r="C13" s="253"/>
      <c r="D13" s="250" t="str">
        <f t="shared" si="0"/>
        <v>0-1900</v>
      </c>
      <c r="E13" s="254"/>
      <c r="F13" s="255"/>
      <c r="G13" s="2">
        <f t="shared" si="1"/>
        <v>0</v>
      </c>
      <c r="Q13" s="269">
        <f>Races!A12</f>
        <v>0</v>
      </c>
      <c r="R13" s="195">
        <f>Races!B12</f>
        <v>0</v>
      </c>
      <c r="S13" s="195">
        <f>Races!C12</f>
        <v>0</v>
      </c>
      <c r="T13" s="10">
        <f>Races!D12</f>
        <v>0</v>
      </c>
    </row>
    <row r="14" spans="2:20" x14ac:dyDescent="0.35">
      <c r="B14" s="5">
        <v>11</v>
      </c>
      <c r="C14" s="253"/>
      <c r="D14" s="250" t="str">
        <f t="shared" si="0"/>
        <v>0-1900</v>
      </c>
      <c r="E14" s="254"/>
      <c r="F14" s="255"/>
      <c r="G14" s="2">
        <f t="shared" si="1"/>
        <v>0</v>
      </c>
      <c r="Q14" s="269">
        <f>Races!A13</f>
        <v>0</v>
      </c>
      <c r="R14" s="195">
        <f>Races!B13</f>
        <v>0</v>
      </c>
      <c r="S14" s="195">
        <f>Races!C13</f>
        <v>0</v>
      </c>
      <c r="T14" s="10">
        <f>Races!D13</f>
        <v>0</v>
      </c>
    </row>
    <row r="15" spans="2:20" x14ac:dyDescent="0.35">
      <c r="B15" s="5">
        <v>12</v>
      </c>
      <c r="C15" s="253"/>
      <c r="D15" s="250" t="str">
        <f t="shared" si="0"/>
        <v>0-1900</v>
      </c>
      <c r="E15" s="254"/>
      <c r="F15" s="255"/>
      <c r="G15" s="2">
        <f t="shared" si="1"/>
        <v>0</v>
      </c>
      <c r="Q15" s="269">
        <f>Races!A14</f>
        <v>0</v>
      </c>
      <c r="R15" s="195">
        <f>Races!B14</f>
        <v>0</v>
      </c>
      <c r="S15" s="195">
        <f>Races!C14</f>
        <v>0</v>
      </c>
      <c r="T15" s="10">
        <f>Races!D14</f>
        <v>0</v>
      </c>
    </row>
    <row r="16" spans="2:20" x14ac:dyDescent="0.35">
      <c r="B16" s="5">
        <v>13</v>
      </c>
      <c r="C16" s="253"/>
      <c r="D16" s="250" t="str">
        <f t="shared" si="0"/>
        <v>0-1900</v>
      </c>
      <c r="E16" s="254"/>
      <c r="F16" s="255"/>
      <c r="G16" s="2">
        <f t="shared" si="1"/>
        <v>0</v>
      </c>
      <c r="Q16" s="269">
        <f>Races!A15</f>
        <v>0</v>
      </c>
      <c r="R16" s="195">
        <f>Races!B15</f>
        <v>0</v>
      </c>
      <c r="S16" s="195">
        <f>Races!C15</f>
        <v>0</v>
      </c>
      <c r="T16" s="10">
        <f>Races!D15</f>
        <v>0</v>
      </c>
    </row>
    <row r="17" spans="2:20" x14ac:dyDescent="0.35">
      <c r="B17" s="5">
        <v>14</v>
      </c>
      <c r="C17" s="253"/>
      <c r="D17" s="250" t="str">
        <f t="shared" si="0"/>
        <v>0-1900</v>
      </c>
      <c r="E17" s="254"/>
      <c r="F17" s="255"/>
      <c r="G17" s="2">
        <f t="shared" si="1"/>
        <v>0</v>
      </c>
      <c r="Q17" s="269">
        <f>Races!A16</f>
        <v>0</v>
      </c>
      <c r="R17" s="195">
        <f>Races!B16</f>
        <v>0</v>
      </c>
      <c r="S17" s="195">
        <f>Races!C16</f>
        <v>0</v>
      </c>
      <c r="T17" s="10">
        <f>Races!D16</f>
        <v>0</v>
      </c>
    </row>
    <row r="18" spans="2:20" x14ac:dyDescent="0.35">
      <c r="B18" s="5">
        <v>15</v>
      </c>
      <c r="C18" s="253"/>
      <c r="D18" s="250" t="str">
        <f t="shared" si="0"/>
        <v>0-1900</v>
      </c>
      <c r="E18" s="254"/>
      <c r="F18" s="255"/>
      <c r="G18" s="2">
        <f t="shared" si="1"/>
        <v>0</v>
      </c>
      <c r="Q18" s="269">
        <f>Races!A17</f>
        <v>0</v>
      </c>
      <c r="R18" s="195">
        <f>Races!B17</f>
        <v>0</v>
      </c>
      <c r="S18" s="195">
        <f>Races!C17</f>
        <v>0</v>
      </c>
      <c r="T18" s="10">
        <f>Races!D17</f>
        <v>0</v>
      </c>
    </row>
    <row r="19" spans="2:20" x14ac:dyDescent="0.35">
      <c r="B19" s="5">
        <v>16</v>
      </c>
      <c r="C19" s="253"/>
      <c r="D19" s="250" t="str">
        <f t="shared" si="0"/>
        <v>0-1900</v>
      </c>
      <c r="E19" s="254"/>
      <c r="F19" s="255"/>
      <c r="G19" s="2">
        <f t="shared" si="1"/>
        <v>0</v>
      </c>
      <c r="Q19" s="269">
        <f>Races!A18</f>
        <v>0</v>
      </c>
      <c r="R19" s="195">
        <f>Races!B18</f>
        <v>0</v>
      </c>
      <c r="S19" s="195">
        <f>Races!C18</f>
        <v>0</v>
      </c>
      <c r="T19" s="10">
        <f>Races!D18</f>
        <v>0</v>
      </c>
    </row>
    <row r="20" spans="2:20" x14ac:dyDescent="0.35">
      <c r="B20" s="5">
        <v>17</v>
      </c>
      <c r="C20" s="253"/>
      <c r="D20" s="250" t="str">
        <f t="shared" si="0"/>
        <v>0-1900</v>
      </c>
      <c r="E20" s="254"/>
      <c r="F20" s="255"/>
      <c r="G20" s="2">
        <f t="shared" si="1"/>
        <v>0</v>
      </c>
      <c r="Q20" s="269">
        <f>Races!A19</f>
        <v>0</v>
      </c>
      <c r="R20" s="195">
        <f>Races!B19</f>
        <v>0</v>
      </c>
      <c r="S20" s="195">
        <f>Races!C19</f>
        <v>0</v>
      </c>
      <c r="T20" s="10">
        <f>Races!D19</f>
        <v>0</v>
      </c>
    </row>
    <row r="21" spans="2:20" x14ac:dyDescent="0.35">
      <c r="B21" s="5">
        <v>18</v>
      </c>
      <c r="C21" s="253"/>
      <c r="D21" s="250" t="str">
        <f t="shared" si="0"/>
        <v>0-1900</v>
      </c>
      <c r="E21" s="254"/>
      <c r="F21" s="255"/>
      <c r="G21" s="2">
        <f t="shared" si="1"/>
        <v>0</v>
      </c>
      <c r="Q21" s="269">
        <f>Races!A20</f>
        <v>0</v>
      </c>
      <c r="R21" s="195">
        <f>Races!B20</f>
        <v>0</v>
      </c>
      <c r="S21" s="195">
        <f>Races!C20</f>
        <v>0</v>
      </c>
      <c r="T21" s="10">
        <f>Races!D20</f>
        <v>0</v>
      </c>
    </row>
    <row r="22" spans="2:20" x14ac:dyDescent="0.35">
      <c r="B22" s="5">
        <v>19</v>
      </c>
      <c r="C22" s="253"/>
      <c r="D22" s="250" t="str">
        <f t="shared" si="0"/>
        <v>0-1900</v>
      </c>
      <c r="E22" s="254"/>
      <c r="F22" s="255"/>
      <c r="G22" s="2">
        <f t="shared" si="1"/>
        <v>0</v>
      </c>
      <c r="Q22" s="269">
        <f>Races!A21</f>
        <v>0</v>
      </c>
      <c r="R22" s="195">
        <f>Races!B21</f>
        <v>0</v>
      </c>
      <c r="S22" s="195">
        <f>Races!C21</f>
        <v>0</v>
      </c>
      <c r="T22" s="10">
        <f>Races!D21</f>
        <v>0</v>
      </c>
    </row>
    <row r="23" spans="2:20" x14ac:dyDescent="0.35">
      <c r="B23" s="5">
        <v>21</v>
      </c>
      <c r="C23" s="253"/>
      <c r="D23" s="250" t="str">
        <f t="shared" si="0"/>
        <v>0-1900</v>
      </c>
      <c r="E23" s="254"/>
      <c r="F23" s="255"/>
      <c r="G23" s="2">
        <f t="shared" si="1"/>
        <v>0</v>
      </c>
      <c r="Q23" s="269">
        <f>Races!A22</f>
        <v>0</v>
      </c>
      <c r="R23" s="195">
        <f>Races!B22</f>
        <v>0</v>
      </c>
      <c r="S23" s="195">
        <f>Races!C22</f>
        <v>0</v>
      </c>
      <c r="T23" s="10">
        <f>Races!D22</f>
        <v>0</v>
      </c>
    </row>
    <row r="24" spans="2:20" x14ac:dyDescent="0.35">
      <c r="B24" s="5">
        <v>22</v>
      </c>
      <c r="C24" s="253"/>
      <c r="D24" s="250" t="str">
        <f t="shared" si="0"/>
        <v>0-1900</v>
      </c>
      <c r="E24" s="254"/>
      <c r="F24" s="255"/>
      <c r="G24" s="2">
        <f t="shared" si="1"/>
        <v>0</v>
      </c>
      <c r="Q24" s="269">
        <f>Races!A23</f>
        <v>0</v>
      </c>
      <c r="R24" s="195">
        <f>Races!B23</f>
        <v>0</v>
      </c>
      <c r="S24" s="195">
        <f>Races!C23</f>
        <v>0</v>
      </c>
      <c r="T24" s="10">
        <f>Races!D23</f>
        <v>0</v>
      </c>
    </row>
    <row r="25" spans="2:20" x14ac:dyDescent="0.35">
      <c r="B25" s="5">
        <v>23</v>
      </c>
      <c r="C25" s="253"/>
      <c r="D25" s="250" t="str">
        <f t="shared" si="0"/>
        <v>0-1900</v>
      </c>
      <c r="E25" s="254"/>
      <c r="F25" s="255"/>
      <c r="G25" s="2">
        <f t="shared" si="1"/>
        <v>0</v>
      </c>
      <c r="Q25" s="269">
        <f>Races!A24</f>
        <v>0</v>
      </c>
      <c r="R25" s="195">
        <f>Races!B24</f>
        <v>0</v>
      </c>
      <c r="S25" s="195">
        <f>Races!C24</f>
        <v>0</v>
      </c>
      <c r="T25" s="10">
        <f>Races!D24</f>
        <v>0</v>
      </c>
    </row>
    <row r="26" spans="2:20" x14ac:dyDescent="0.35">
      <c r="B26" s="5">
        <v>24</v>
      </c>
      <c r="C26" s="253"/>
      <c r="D26" s="250" t="str">
        <f t="shared" si="0"/>
        <v>0-1900</v>
      </c>
      <c r="E26" s="254"/>
      <c r="F26" s="255"/>
      <c r="G26" s="2">
        <f t="shared" si="1"/>
        <v>0</v>
      </c>
      <c r="Q26" s="269">
        <f>Races!A25</f>
        <v>0</v>
      </c>
      <c r="R26" s="195">
        <f>Races!B25</f>
        <v>0</v>
      </c>
      <c r="S26" s="195">
        <f>Races!C25</f>
        <v>0</v>
      </c>
      <c r="T26" s="10">
        <f>Races!D25</f>
        <v>0</v>
      </c>
    </row>
    <row r="27" spans="2:20" x14ac:dyDescent="0.35">
      <c r="B27" s="5">
        <v>25</v>
      </c>
      <c r="C27" s="253"/>
      <c r="D27" s="250" t="str">
        <f t="shared" si="0"/>
        <v>0-1900</v>
      </c>
      <c r="E27" s="254"/>
      <c r="F27" s="255"/>
      <c r="G27" s="2">
        <f t="shared" si="1"/>
        <v>0</v>
      </c>
      <c r="Q27" s="269">
        <f>Races!A26</f>
        <v>0</v>
      </c>
      <c r="R27" s="195">
        <f>Races!B26</f>
        <v>0</v>
      </c>
      <c r="S27" s="195">
        <f>Races!C26</f>
        <v>0</v>
      </c>
      <c r="T27" s="10">
        <f>Races!D26</f>
        <v>0</v>
      </c>
    </row>
    <row r="28" spans="2:20" x14ac:dyDescent="0.35">
      <c r="B28" s="5">
        <v>26</v>
      </c>
      <c r="C28" s="254"/>
      <c r="D28" s="250" t="str">
        <f t="shared" si="0"/>
        <v>0-1900</v>
      </c>
      <c r="E28" s="254"/>
      <c r="F28" s="255"/>
      <c r="G28" s="2">
        <f t="shared" si="1"/>
        <v>0</v>
      </c>
      <c r="Q28" s="269">
        <f>Races!A27</f>
        <v>0</v>
      </c>
      <c r="R28" s="195">
        <f>Races!B27</f>
        <v>0</v>
      </c>
      <c r="S28" s="195">
        <f>Races!C27</f>
        <v>0</v>
      </c>
      <c r="T28" s="10">
        <f>Races!D27</f>
        <v>0</v>
      </c>
    </row>
    <row r="29" spans="2:20" x14ac:dyDescent="0.35">
      <c r="B29" s="5">
        <v>27</v>
      </c>
      <c r="C29" s="254"/>
      <c r="D29" s="250" t="str">
        <f t="shared" si="0"/>
        <v>0-1900</v>
      </c>
      <c r="E29" s="254"/>
      <c r="F29" s="255"/>
      <c r="G29" s="2">
        <f t="shared" si="1"/>
        <v>0</v>
      </c>
      <c r="Q29" s="269">
        <f>Races!A28</f>
        <v>0</v>
      </c>
      <c r="R29" s="195">
        <f>Races!B28</f>
        <v>0</v>
      </c>
      <c r="S29" s="195">
        <f>Races!C28</f>
        <v>0</v>
      </c>
      <c r="T29" s="10">
        <f>Races!D28</f>
        <v>0</v>
      </c>
    </row>
    <row r="30" spans="2:20" x14ac:dyDescent="0.35">
      <c r="B30" s="5">
        <v>28</v>
      </c>
      <c r="C30" s="254"/>
      <c r="D30" s="250" t="str">
        <f t="shared" si="0"/>
        <v>0-1900</v>
      </c>
      <c r="E30" s="254"/>
      <c r="F30" s="255"/>
      <c r="G30" s="2">
        <f t="shared" si="1"/>
        <v>0</v>
      </c>
      <c r="Q30" s="269">
        <f>Races!A29</f>
        <v>0</v>
      </c>
      <c r="R30" s="195">
        <f>Races!B29</f>
        <v>0</v>
      </c>
      <c r="S30" s="195">
        <f>Races!C29</f>
        <v>0</v>
      </c>
      <c r="T30" s="10">
        <f>Races!D29</f>
        <v>0</v>
      </c>
    </row>
    <row r="31" spans="2:20" x14ac:dyDescent="0.35">
      <c r="B31" s="5">
        <v>29</v>
      </c>
      <c r="C31" s="254"/>
      <c r="D31" s="250" t="str">
        <f t="shared" si="0"/>
        <v>0-1900</v>
      </c>
      <c r="E31" s="254"/>
      <c r="F31" s="255"/>
      <c r="G31" s="2">
        <f t="shared" si="1"/>
        <v>0</v>
      </c>
      <c r="Q31" s="269">
        <f>Races!A30</f>
        <v>0</v>
      </c>
      <c r="R31" s="195">
        <f>Races!B30</f>
        <v>0</v>
      </c>
      <c r="S31" s="195">
        <f>Races!C30</f>
        <v>0</v>
      </c>
      <c r="T31" s="10">
        <f>Races!D30</f>
        <v>0</v>
      </c>
    </row>
    <row r="32" spans="2:20" x14ac:dyDescent="0.35">
      <c r="B32" s="5">
        <v>30</v>
      </c>
      <c r="C32" s="254"/>
      <c r="D32" s="250" t="str">
        <f t="shared" si="0"/>
        <v>0-1900</v>
      </c>
      <c r="E32" s="254"/>
      <c r="F32" s="255"/>
      <c r="G32" s="2">
        <f t="shared" si="1"/>
        <v>0</v>
      </c>
      <c r="Q32" s="269">
        <f>Races!A31</f>
        <v>0</v>
      </c>
      <c r="R32" s="195">
        <f>Races!B31</f>
        <v>0</v>
      </c>
      <c r="S32" s="195">
        <f>Races!C31</f>
        <v>0</v>
      </c>
      <c r="T32" s="10">
        <f>Races!D31</f>
        <v>0</v>
      </c>
    </row>
    <row r="33" spans="2:20" x14ac:dyDescent="0.35">
      <c r="B33" s="5">
        <v>31</v>
      </c>
      <c r="C33" s="254"/>
      <c r="D33" s="250" t="str">
        <f t="shared" si="0"/>
        <v>0-1900</v>
      </c>
      <c r="E33" s="254"/>
      <c r="F33" s="255"/>
      <c r="G33" s="2">
        <f t="shared" si="1"/>
        <v>0</v>
      </c>
      <c r="Q33" s="269">
        <f>Races!A32</f>
        <v>0</v>
      </c>
      <c r="R33" s="195">
        <f>Races!B32</f>
        <v>0</v>
      </c>
      <c r="S33" s="195">
        <f>Races!C32</f>
        <v>0</v>
      </c>
      <c r="T33" s="10">
        <f>Races!D32</f>
        <v>0</v>
      </c>
    </row>
    <row r="34" spans="2:20" x14ac:dyDescent="0.35">
      <c r="B34" s="5">
        <v>32</v>
      </c>
      <c r="C34" s="254"/>
      <c r="D34" s="250" t="str">
        <f t="shared" si="0"/>
        <v>0-1900</v>
      </c>
      <c r="E34" s="254"/>
      <c r="F34" s="255"/>
      <c r="G34" s="2">
        <f t="shared" si="1"/>
        <v>0</v>
      </c>
      <c r="Q34" s="269">
        <f>Races!A33</f>
        <v>0</v>
      </c>
      <c r="R34" s="195">
        <f>Races!B33</f>
        <v>0</v>
      </c>
      <c r="S34" s="195">
        <f>Races!C33</f>
        <v>0</v>
      </c>
      <c r="T34" s="10">
        <f>Races!D33</f>
        <v>0</v>
      </c>
    </row>
    <row r="35" spans="2:20" x14ac:dyDescent="0.35">
      <c r="B35" s="5">
        <v>33</v>
      </c>
      <c r="C35" s="254"/>
      <c r="D35" s="250" t="str">
        <f t="shared" ref="D35:D52" si="2">WEEKNUM(C35)&amp;"-"&amp;YEAR(C35)</f>
        <v>0-1900</v>
      </c>
      <c r="E35" s="254"/>
      <c r="F35" s="255"/>
      <c r="G35" s="2">
        <f t="shared" si="1"/>
        <v>0</v>
      </c>
      <c r="Q35" s="269">
        <f>Races!A34</f>
        <v>0</v>
      </c>
      <c r="R35" s="195">
        <f>Races!B34</f>
        <v>0</v>
      </c>
      <c r="S35" s="195">
        <f>Races!C34</f>
        <v>0</v>
      </c>
      <c r="T35" s="10">
        <f>Races!D34</f>
        <v>0</v>
      </c>
    </row>
    <row r="36" spans="2:20" x14ac:dyDescent="0.35">
      <c r="B36" s="5">
        <v>34</v>
      </c>
      <c r="C36" s="254"/>
      <c r="D36" s="250" t="str">
        <f t="shared" si="2"/>
        <v>0-1900</v>
      </c>
      <c r="E36" s="254"/>
      <c r="F36" s="255"/>
      <c r="G36" s="2">
        <f t="shared" si="1"/>
        <v>0</v>
      </c>
      <c r="Q36" s="269">
        <f>Races!A35</f>
        <v>0</v>
      </c>
      <c r="R36" s="195">
        <f>Races!B35</f>
        <v>0</v>
      </c>
      <c r="S36" s="195">
        <f>Races!C35</f>
        <v>0</v>
      </c>
      <c r="T36" s="10">
        <f>Races!D35</f>
        <v>0</v>
      </c>
    </row>
    <row r="37" spans="2:20" x14ac:dyDescent="0.35">
      <c r="B37" s="5">
        <v>35</v>
      </c>
      <c r="C37" s="254"/>
      <c r="D37" s="250" t="str">
        <f t="shared" si="2"/>
        <v>0-1900</v>
      </c>
      <c r="E37" s="254"/>
      <c r="F37" s="255"/>
      <c r="G37" s="2">
        <f t="shared" si="1"/>
        <v>0</v>
      </c>
      <c r="Q37" s="269">
        <f>Races!A36</f>
        <v>0</v>
      </c>
      <c r="R37" s="195">
        <f>Races!B36</f>
        <v>0</v>
      </c>
      <c r="S37" s="195">
        <f>Races!C36</f>
        <v>0</v>
      </c>
      <c r="T37" s="10">
        <f>Races!D36</f>
        <v>0</v>
      </c>
    </row>
    <row r="38" spans="2:20" x14ac:dyDescent="0.35">
      <c r="B38" s="5">
        <v>36</v>
      </c>
      <c r="C38" s="254"/>
      <c r="D38" s="250" t="str">
        <f t="shared" si="2"/>
        <v>0-1900</v>
      </c>
      <c r="E38" s="254"/>
      <c r="F38" s="255"/>
      <c r="G38" s="2">
        <f t="shared" si="1"/>
        <v>0</v>
      </c>
      <c r="Q38" s="269">
        <f>Races!A37</f>
        <v>0</v>
      </c>
      <c r="R38" s="195">
        <f>Races!B37</f>
        <v>0</v>
      </c>
      <c r="S38" s="195">
        <f>Races!C37</f>
        <v>0</v>
      </c>
      <c r="T38" s="10">
        <f>Races!D37</f>
        <v>0</v>
      </c>
    </row>
    <row r="39" spans="2:20" x14ac:dyDescent="0.35">
      <c r="B39" s="5">
        <v>37</v>
      </c>
      <c r="C39" s="254"/>
      <c r="D39" s="250" t="str">
        <f t="shared" si="2"/>
        <v>0-1900</v>
      </c>
      <c r="E39" s="254"/>
      <c r="F39" s="255"/>
      <c r="G39" s="2">
        <f t="shared" si="1"/>
        <v>0</v>
      </c>
      <c r="Q39" s="269">
        <f>Races!A38</f>
        <v>0</v>
      </c>
      <c r="R39" s="195">
        <f>Races!B38</f>
        <v>0</v>
      </c>
      <c r="S39" s="195">
        <f>Races!C38</f>
        <v>0</v>
      </c>
      <c r="T39" s="10">
        <f>Races!D38</f>
        <v>0</v>
      </c>
    </row>
    <row r="40" spans="2:20" x14ac:dyDescent="0.35">
      <c r="B40" s="5">
        <v>38</v>
      </c>
      <c r="C40" s="254"/>
      <c r="D40" s="250" t="str">
        <f t="shared" si="2"/>
        <v>0-1900</v>
      </c>
      <c r="E40" s="254"/>
      <c r="F40" s="255"/>
      <c r="G40" s="2">
        <f t="shared" si="1"/>
        <v>0</v>
      </c>
      <c r="Q40" s="269">
        <f>Races!A39</f>
        <v>0</v>
      </c>
      <c r="R40" s="195">
        <f>Races!B39</f>
        <v>0</v>
      </c>
      <c r="S40" s="195">
        <f>Races!C39</f>
        <v>0</v>
      </c>
      <c r="T40" s="10">
        <f>Races!D39</f>
        <v>0</v>
      </c>
    </row>
    <row r="41" spans="2:20" x14ac:dyDescent="0.35">
      <c r="B41" s="5">
        <v>39</v>
      </c>
      <c r="C41" s="254"/>
      <c r="D41" s="250" t="str">
        <f t="shared" si="2"/>
        <v>0-1900</v>
      </c>
      <c r="E41" s="254"/>
      <c r="F41" s="255"/>
      <c r="G41" s="2">
        <f t="shared" si="1"/>
        <v>0</v>
      </c>
      <c r="Q41" s="269">
        <f>Races!A40</f>
        <v>0</v>
      </c>
      <c r="R41" s="195">
        <f>Races!B40</f>
        <v>0</v>
      </c>
      <c r="S41" s="195">
        <f>Races!C40</f>
        <v>0</v>
      </c>
      <c r="T41" s="10">
        <f>Races!D40</f>
        <v>0</v>
      </c>
    </row>
    <row r="42" spans="2:20" x14ac:dyDescent="0.35">
      <c r="B42" s="5">
        <v>40</v>
      </c>
      <c r="C42" s="254"/>
      <c r="D42" s="250" t="str">
        <f t="shared" si="2"/>
        <v>0-1900</v>
      </c>
      <c r="E42" s="254"/>
      <c r="F42" s="255"/>
      <c r="G42" s="2">
        <f t="shared" si="1"/>
        <v>0</v>
      </c>
      <c r="Q42" s="269">
        <f>Races!A41</f>
        <v>0</v>
      </c>
      <c r="R42" s="195">
        <f>Races!B41</f>
        <v>0</v>
      </c>
      <c r="S42" s="195">
        <f>Races!C41</f>
        <v>0</v>
      </c>
      <c r="T42" s="10">
        <f>Races!D41</f>
        <v>0</v>
      </c>
    </row>
    <row r="43" spans="2:20" x14ac:dyDescent="0.35">
      <c r="B43" s="5">
        <v>41</v>
      </c>
      <c r="C43" s="254"/>
      <c r="D43" s="250" t="str">
        <f t="shared" si="2"/>
        <v>0-1900</v>
      </c>
      <c r="E43" s="254"/>
      <c r="F43" s="255"/>
      <c r="G43" s="2">
        <f t="shared" si="1"/>
        <v>0</v>
      </c>
      <c r="Q43" s="269">
        <f>Races!A42</f>
        <v>0</v>
      </c>
      <c r="R43" s="195">
        <f>Races!B42</f>
        <v>0</v>
      </c>
      <c r="S43" s="195">
        <f>Races!C42</f>
        <v>0</v>
      </c>
      <c r="T43" s="10">
        <f>Races!D42</f>
        <v>0</v>
      </c>
    </row>
    <row r="44" spans="2:20" x14ac:dyDescent="0.35">
      <c r="B44" s="5">
        <v>42</v>
      </c>
      <c r="C44" s="254"/>
      <c r="D44" s="250" t="str">
        <f t="shared" si="2"/>
        <v>0-1900</v>
      </c>
      <c r="E44" s="254"/>
      <c r="F44" s="255"/>
      <c r="G44" s="2">
        <f t="shared" si="1"/>
        <v>0</v>
      </c>
      <c r="Q44" s="269">
        <f>Races!A43</f>
        <v>0</v>
      </c>
      <c r="R44" s="195">
        <f>Races!B43</f>
        <v>0</v>
      </c>
      <c r="S44" s="195">
        <f>Races!C43</f>
        <v>0</v>
      </c>
      <c r="T44" s="10">
        <f>Races!D43</f>
        <v>0</v>
      </c>
    </row>
    <row r="45" spans="2:20" x14ac:dyDescent="0.35">
      <c r="B45" s="5">
        <v>43</v>
      </c>
      <c r="C45" s="254"/>
      <c r="D45" s="250" t="str">
        <f t="shared" si="2"/>
        <v>0-1900</v>
      </c>
      <c r="E45" s="254"/>
      <c r="F45" s="255"/>
      <c r="G45" s="2">
        <f t="shared" si="1"/>
        <v>0</v>
      </c>
      <c r="Q45" s="269">
        <f>Races!A44</f>
        <v>0</v>
      </c>
      <c r="R45" s="195">
        <f>Races!B44</f>
        <v>0</v>
      </c>
      <c r="S45" s="195">
        <f>Races!C44</f>
        <v>0</v>
      </c>
      <c r="T45" s="10">
        <f>Races!D44</f>
        <v>0</v>
      </c>
    </row>
    <row r="46" spans="2:20" x14ac:dyDescent="0.35">
      <c r="B46" s="5">
        <v>44</v>
      </c>
      <c r="C46" s="254"/>
      <c r="D46" s="250" t="str">
        <f t="shared" si="2"/>
        <v>0-1900</v>
      </c>
      <c r="E46" s="254"/>
      <c r="F46" s="255"/>
      <c r="G46" s="2">
        <f t="shared" si="1"/>
        <v>0</v>
      </c>
      <c r="Q46" s="269">
        <f>Races!A45</f>
        <v>0</v>
      </c>
      <c r="R46" s="195">
        <f>Races!B45</f>
        <v>0</v>
      </c>
      <c r="S46" s="195">
        <f>Races!C45</f>
        <v>0</v>
      </c>
      <c r="T46" s="10">
        <f>Races!D45</f>
        <v>0</v>
      </c>
    </row>
    <row r="47" spans="2:20" x14ac:dyDescent="0.35">
      <c r="B47" s="5">
        <v>45</v>
      </c>
      <c r="C47" s="254"/>
      <c r="D47" s="250" t="str">
        <f t="shared" si="2"/>
        <v>0-1900</v>
      </c>
      <c r="E47" s="254"/>
      <c r="F47" s="255"/>
      <c r="G47" s="2">
        <f t="shared" si="1"/>
        <v>0</v>
      </c>
      <c r="Q47" s="269">
        <f>Races!A46</f>
        <v>0</v>
      </c>
      <c r="R47" s="195">
        <f>Races!B46</f>
        <v>0</v>
      </c>
      <c r="S47" s="195">
        <f>Races!C46</f>
        <v>0</v>
      </c>
      <c r="T47" s="10">
        <f>Races!D46</f>
        <v>0</v>
      </c>
    </row>
    <row r="48" spans="2:20" x14ac:dyDescent="0.35">
      <c r="B48" s="5">
        <v>46</v>
      </c>
      <c r="C48" s="254"/>
      <c r="D48" s="250" t="str">
        <f t="shared" si="2"/>
        <v>0-1900</v>
      </c>
      <c r="E48" s="254"/>
      <c r="F48" s="255"/>
      <c r="G48" s="2">
        <f t="shared" si="1"/>
        <v>0</v>
      </c>
      <c r="Q48" s="269">
        <f>Races!A47</f>
        <v>0</v>
      </c>
      <c r="R48" s="195">
        <f>Races!B47</f>
        <v>0</v>
      </c>
      <c r="S48" s="195">
        <f>Races!C47</f>
        <v>0</v>
      </c>
      <c r="T48" s="10">
        <f>Races!D47</f>
        <v>0</v>
      </c>
    </row>
    <row r="49" spans="2:20" x14ac:dyDescent="0.35">
      <c r="B49" s="5">
        <v>47</v>
      </c>
      <c r="C49" s="254"/>
      <c r="D49" s="250" t="str">
        <f t="shared" si="2"/>
        <v>0-1900</v>
      </c>
      <c r="E49" s="254"/>
      <c r="F49" s="255"/>
      <c r="G49" s="2">
        <f t="shared" si="1"/>
        <v>0</v>
      </c>
      <c r="Q49" s="269">
        <f>Races!A48</f>
        <v>0</v>
      </c>
      <c r="R49" s="195">
        <f>Races!B48</f>
        <v>0</v>
      </c>
      <c r="S49" s="195">
        <f>Races!C48</f>
        <v>0</v>
      </c>
      <c r="T49" s="10">
        <f>Races!D48</f>
        <v>0</v>
      </c>
    </row>
    <row r="50" spans="2:20" x14ac:dyDescent="0.35">
      <c r="B50" s="5">
        <v>48</v>
      </c>
      <c r="C50" s="254"/>
      <c r="D50" s="250" t="str">
        <f t="shared" si="2"/>
        <v>0-1900</v>
      </c>
      <c r="E50" s="254"/>
      <c r="F50" s="255"/>
      <c r="G50" s="2">
        <f t="shared" si="1"/>
        <v>0</v>
      </c>
      <c r="Q50" s="269">
        <f>Races!A49</f>
        <v>0</v>
      </c>
      <c r="R50" s="195">
        <f>Races!B49</f>
        <v>0</v>
      </c>
      <c r="S50" s="195">
        <f>Races!C49</f>
        <v>0</v>
      </c>
      <c r="T50" s="10">
        <f>Races!D49</f>
        <v>0</v>
      </c>
    </row>
    <row r="51" spans="2:20" x14ac:dyDescent="0.35">
      <c r="B51" s="5">
        <v>49</v>
      </c>
      <c r="C51" s="254"/>
      <c r="D51" s="250" t="str">
        <f t="shared" si="2"/>
        <v>0-1900</v>
      </c>
      <c r="E51" s="254"/>
      <c r="F51" s="255"/>
      <c r="G51" s="2">
        <f t="shared" si="1"/>
        <v>0</v>
      </c>
      <c r="Q51" s="269">
        <f>Races!A50</f>
        <v>0</v>
      </c>
      <c r="R51" s="195">
        <f>Races!B50</f>
        <v>0</v>
      </c>
      <c r="S51" s="195">
        <f>Races!C50</f>
        <v>0</v>
      </c>
      <c r="T51" s="10">
        <f>Races!D50</f>
        <v>0</v>
      </c>
    </row>
    <row r="52" spans="2:20" ht="15" thickBot="1" x14ac:dyDescent="0.4">
      <c r="B52" s="6">
        <v>50</v>
      </c>
      <c r="C52" s="256"/>
      <c r="D52" s="250" t="str">
        <f t="shared" si="2"/>
        <v>0-1900</v>
      </c>
      <c r="E52" s="256"/>
      <c r="F52" s="257"/>
      <c r="G52" s="2">
        <f t="shared" si="1"/>
        <v>0</v>
      </c>
      <c r="Q52" s="270">
        <f>Races!A51</f>
        <v>0</v>
      </c>
      <c r="R52" s="271">
        <f>Races!B51</f>
        <v>0</v>
      </c>
      <c r="S52" s="271">
        <f>Races!C51</f>
        <v>0</v>
      </c>
      <c r="T52" s="34">
        <f>Races!D51</f>
        <v>0</v>
      </c>
    </row>
  </sheetData>
  <autoFilter ref="B2:F34" xr:uid="{085FB3D1-3186-412B-9A53-91972F09DFAB}">
    <sortState xmlns:xlrd2="http://schemas.microsoft.com/office/spreadsheetml/2017/richdata2" ref="B3:F52">
      <sortCondition ref="B2:B34"/>
    </sortState>
  </autoFilter>
  <mergeCells count="3">
    <mergeCell ref="H2:O10"/>
    <mergeCell ref="C1:F1"/>
    <mergeCell ref="Q1:T1"/>
  </mergeCells>
  <phoneticPr fontId="4" type="noConversion"/>
  <conditionalFormatting sqref="C3:C52">
    <cfRule type="duplicateValues" dxfId="20" priority="2"/>
  </conditionalFormatting>
  <conditionalFormatting sqref="E3:E52 R3:R52">
    <cfRule type="duplicateValues" dxfId="19" priority="1"/>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F3:F52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5" activePane="bottomRight" state="frozen"/>
      <selection activeCell="A2" sqref="A2"/>
      <selection pane="topRight" activeCell="E2" sqref="E2"/>
      <selection pane="bottomLeft" activeCell="A5" sqref="A5"/>
      <selection pane="bottomRight" activeCell="T11" sqref="T11"/>
    </sheetView>
  </sheetViews>
  <sheetFormatPr defaultRowHeight="14.5" x14ac:dyDescent="0.35"/>
  <cols>
    <col min="1" max="1" width="3.36328125" bestFit="1" customWidth="1"/>
    <col min="2" max="2" width="5.6328125" bestFit="1" customWidth="1"/>
    <col min="3" max="3" width="6.54296875" bestFit="1" customWidth="1"/>
    <col min="4" max="4" width="7.453125" bestFit="1" customWidth="1"/>
    <col min="5" max="5" width="47.7265625" customWidth="1"/>
    <col min="6" max="6" width="3.36328125" style="3" hidden="1" customWidth="1"/>
    <col min="7" max="7" width="9.08984375" style="3" hidden="1" customWidth="1"/>
    <col min="8" max="8" width="10.08984375" style="3" hidden="1" customWidth="1"/>
    <col min="9" max="9" width="10.453125" style="3" bestFit="1" customWidth="1"/>
    <col min="10" max="10" width="5" style="3" bestFit="1" customWidth="1"/>
    <col min="11" max="11" width="8.08984375" style="3" hidden="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7.5429687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0.36328125" customWidth="1"/>
    <col min="53" max="53" width="1.453125" customWidth="1"/>
    <col min="54" max="61" width="9.26953125" customWidth="1"/>
    <col min="62" max="62" width="1.6328125" customWidth="1"/>
  </cols>
  <sheetData>
    <row r="1" spans="1:63" ht="15" hidden="1" thickBot="1" x14ac:dyDescent="0.4">
      <c r="A1">
        <v>1</v>
      </c>
      <c r="B1">
        <v>2</v>
      </c>
      <c r="C1">
        <v>3</v>
      </c>
      <c r="D1">
        <v>4</v>
      </c>
      <c r="E1">
        <v>5</v>
      </c>
      <c r="F1">
        <v>6</v>
      </c>
      <c r="G1"/>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28" customHeight="1" thickBot="1" x14ac:dyDescent="0.4">
      <c r="A2" s="50"/>
      <c r="B2" s="50"/>
      <c r="C2" s="50"/>
      <c r="D2" s="50"/>
      <c r="E2" s="50"/>
      <c r="F2" s="50"/>
      <c r="G2" s="50"/>
      <c r="H2" s="50"/>
      <c r="I2" s="50"/>
      <c r="J2" s="50"/>
      <c r="K2" s="50"/>
      <c r="L2" s="50"/>
      <c r="M2" s="50"/>
      <c r="N2" s="50"/>
      <c r="O2" s="50"/>
      <c r="P2" s="50"/>
      <c r="Q2" s="50"/>
      <c r="R2" s="50"/>
      <c r="S2" s="51"/>
      <c r="T2" s="225" t="s">
        <v>61</v>
      </c>
      <c r="U2" s="226"/>
      <c r="V2" s="226"/>
      <c r="W2" s="226"/>
      <c r="X2" s="226"/>
      <c r="Y2" s="226"/>
      <c r="Z2" s="226"/>
      <c r="AA2" s="226"/>
      <c r="AB2" s="226"/>
      <c r="AC2" s="226"/>
      <c r="AD2" s="226"/>
      <c r="AE2" s="226"/>
      <c r="AF2" s="226"/>
      <c r="AG2" s="226"/>
      <c r="AH2" s="226"/>
      <c r="AI2" s="226"/>
      <c r="AJ2" s="226"/>
      <c r="AK2" s="226"/>
      <c r="AL2" s="226"/>
      <c r="AM2" s="226"/>
      <c r="AN2" s="226"/>
      <c r="AO2" s="226"/>
      <c r="AP2" s="227"/>
      <c r="AQ2" s="52"/>
      <c r="AR2" s="50"/>
      <c r="AS2" s="50"/>
      <c r="AT2" s="50"/>
      <c r="AU2" s="50"/>
      <c r="AV2" s="50"/>
      <c r="AW2" s="50"/>
      <c r="AX2" s="50"/>
      <c r="AY2" s="50"/>
      <c r="AZ2" s="50"/>
      <c r="BA2" s="50"/>
      <c r="BB2" s="234" t="s">
        <v>65</v>
      </c>
      <c r="BC2" s="235"/>
      <c r="BD2" s="235"/>
      <c r="BE2" s="235"/>
      <c r="BF2" s="235"/>
      <c r="BG2" s="235"/>
      <c r="BH2" s="235"/>
      <c r="BI2" s="236"/>
      <c r="BJ2" s="53"/>
    </row>
    <row r="3" spans="1:63" ht="28" customHeight="1" thickBot="1" x14ac:dyDescent="0.4">
      <c r="A3" s="243" t="s">
        <v>83</v>
      </c>
      <c r="B3" s="243" t="s">
        <v>84</v>
      </c>
      <c r="C3" s="245" t="s">
        <v>85</v>
      </c>
      <c r="D3" s="243" t="s">
        <v>34</v>
      </c>
      <c r="E3" s="245" t="s">
        <v>1</v>
      </c>
      <c r="F3" s="247" t="s">
        <v>53</v>
      </c>
      <c r="G3" s="247" t="s">
        <v>185</v>
      </c>
      <c r="I3" s="239" t="s">
        <v>70</v>
      </c>
      <c r="J3" s="241" t="s">
        <v>179</v>
      </c>
      <c r="K3" s="131"/>
      <c r="N3" s="172" t="s">
        <v>102</v>
      </c>
      <c r="O3" s="228" t="s">
        <v>60</v>
      </c>
      <c r="P3" s="229"/>
      <c r="Q3" s="229"/>
      <c r="R3" s="230"/>
      <c r="S3" s="50"/>
      <c r="T3" s="237" t="s">
        <v>14</v>
      </c>
      <c r="U3" s="238"/>
      <c r="V3" s="55"/>
      <c r="W3" s="237" t="s">
        <v>21</v>
      </c>
      <c r="X3" s="238"/>
      <c r="Y3" s="55"/>
      <c r="Z3" s="237" t="s">
        <v>15</v>
      </c>
      <c r="AA3" s="238"/>
      <c r="AB3" s="55"/>
      <c r="AC3" s="237" t="s">
        <v>16</v>
      </c>
      <c r="AD3" s="238"/>
      <c r="AE3" s="55"/>
      <c r="AF3" s="237" t="s">
        <v>18</v>
      </c>
      <c r="AG3" s="238"/>
      <c r="AH3" s="55"/>
      <c r="AI3" s="237" t="s">
        <v>66</v>
      </c>
      <c r="AJ3" s="238"/>
      <c r="AK3" s="55"/>
      <c r="AL3" s="237" t="s">
        <v>66</v>
      </c>
      <c r="AM3" s="238"/>
      <c r="AN3" s="55"/>
      <c r="AO3" s="237" t="s">
        <v>66</v>
      </c>
      <c r="AP3" s="238"/>
      <c r="AQ3" s="50"/>
      <c r="AR3" s="231" t="s">
        <v>62</v>
      </c>
      <c r="AS3" s="232"/>
      <c r="AT3" s="232"/>
      <c r="AU3" s="232"/>
      <c r="AV3" s="232"/>
      <c r="AW3" s="232"/>
      <c r="AX3" s="233"/>
      <c r="AY3" s="52"/>
      <c r="AZ3" s="151" t="s">
        <v>64</v>
      </c>
      <c r="BA3" s="50"/>
      <c r="BB3" s="191" t="s">
        <v>14</v>
      </c>
      <c r="BC3" s="191" t="s">
        <v>14</v>
      </c>
      <c r="BD3" s="191" t="s">
        <v>15</v>
      </c>
      <c r="BE3" s="191" t="s">
        <v>15</v>
      </c>
      <c r="BF3" s="191" t="s">
        <v>21</v>
      </c>
      <c r="BG3" s="191" t="s">
        <v>21</v>
      </c>
      <c r="BH3" s="191" t="s">
        <v>19</v>
      </c>
      <c r="BI3" s="191" t="s">
        <v>17</v>
      </c>
      <c r="BJ3" s="53"/>
      <c r="BK3" t="s">
        <v>166</v>
      </c>
    </row>
    <row r="4" spans="1:63" ht="265" thickBot="1" x14ac:dyDescent="0.4">
      <c r="A4" s="244"/>
      <c r="B4" s="244"/>
      <c r="C4" s="246"/>
      <c r="D4" s="244"/>
      <c r="E4" s="246"/>
      <c r="F4" s="248" t="s">
        <v>184</v>
      </c>
      <c r="G4" s="248" t="s">
        <v>185</v>
      </c>
      <c r="H4" s="56"/>
      <c r="I4" s="240"/>
      <c r="J4" s="242"/>
      <c r="K4" s="132"/>
      <c r="L4" s="56"/>
      <c r="M4" s="56"/>
      <c r="N4" s="185" t="s">
        <v>167</v>
      </c>
      <c r="O4" s="54" t="s">
        <v>90</v>
      </c>
      <c r="P4" s="57" t="s">
        <v>172</v>
      </c>
      <c r="Q4" s="58" t="s">
        <v>58</v>
      </c>
      <c r="R4" s="59" t="s">
        <v>59</v>
      </c>
      <c r="S4" s="60"/>
      <c r="T4" s="153" t="str">
        <f>T3&amp;"_load_target"</f>
        <v>Run_load_target</v>
      </c>
      <c r="U4" s="61" t="str">
        <f>"Actual "&amp;T3</f>
        <v>Actual Run</v>
      </c>
      <c r="V4" s="60"/>
      <c r="W4" s="153" t="str">
        <f>W3&amp;"_load_target"</f>
        <v>TrailRun_load_target</v>
      </c>
      <c r="X4" s="62" t="str">
        <f>"Actual "&amp;W3</f>
        <v>Actual TrailRun</v>
      </c>
      <c r="Y4" s="60"/>
      <c r="Z4" s="153" t="str">
        <f>Z3&amp;"_load_target"</f>
        <v>Ride_load_target</v>
      </c>
      <c r="AA4" s="62" t="str">
        <f>"Actual "&amp;Z3</f>
        <v>Actual Ride</v>
      </c>
      <c r="AB4" s="60"/>
      <c r="AC4" s="153" t="str">
        <f>AC3&amp;"_load_target"</f>
        <v>MountainBikeRide_load_target</v>
      </c>
      <c r="AD4" s="62" t="str">
        <f>"Actual "&amp;AC3</f>
        <v>Actual MountainBikeRide</v>
      </c>
      <c r="AE4" s="60"/>
      <c r="AF4" s="153" t="str">
        <f>AF3&amp;"_load_target"</f>
        <v>OpenWaterSwim_load_target</v>
      </c>
      <c r="AG4" s="62" t="str">
        <f>"Actual "&amp;AF3</f>
        <v>Actual OpenWaterSwim</v>
      </c>
      <c r="AH4" s="60"/>
      <c r="AI4" s="153" t="str">
        <f>AI3&amp;"_load_target"</f>
        <v>None_load_target</v>
      </c>
      <c r="AJ4" s="62" t="str">
        <f>"Actual "&amp;AI3</f>
        <v>Actual None</v>
      </c>
      <c r="AK4" s="60"/>
      <c r="AL4" s="153" t="str">
        <f>AL3&amp;"_load_target"</f>
        <v>None_load_target</v>
      </c>
      <c r="AM4" s="62" t="str">
        <f>"Actual "&amp;AL3</f>
        <v>Actual None</v>
      </c>
      <c r="AN4" s="60"/>
      <c r="AO4" s="153" t="str">
        <f>AO3&amp;"_load_target"</f>
        <v>None_load_target</v>
      </c>
      <c r="AP4" s="62" t="str">
        <f>"Actual "&amp;AO3</f>
        <v>Actual None</v>
      </c>
      <c r="AQ4" s="63"/>
      <c r="AR4" s="153" t="s">
        <v>5</v>
      </c>
      <c r="AS4" s="154" t="s">
        <v>6</v>
      </c>
      <c r="AT4" s="155" t="s">
        <v>23</v>
      </c>
      <c r="AU4" s="155" t="s">
        <v>7</v>
      </c>
      <c r="AV4" s="155" t="s">
        <v>8</v>
      </c>
      <c r="AW4" s="155" t="s">
        <v>22</v>
      </c>
      <c r="AX4" s="156" t="s">
        <v>10</v>
      </c>
      <c r="AY4" s="63"/>
      <c r="AZ4" s="152" t="s">
        <v>94</v>
      </c>
      <c r="BA4" s="64"/>
      <c r="BB4" s="150" t="str">
        <f>BB3&amp;"_time_target"</f>
        <v>Run_time_target</v>
      </c>
      <c r="BC4" s="150" t="str">
        <f>BC3&amp;"_distance_target"</f>
        <v>Run_distance_target</v>
      </c>
      <c r="BD4" s="150" t="str">
        <f>BD3&amp;"_time_target"</f>
        <v>Ride_time_target</v>
      </c>
      <c r="BE4" s="150" t="str">
        <f>BE3&amp;"_distance_target"</f>
        <v>Ride_distance_target</v>
      </c>
      <c r="BF4" s="150" t="str">
        <f>BF3&amp;"_time_target"</f>
        <v>TrailRun_time_target</v>
      </c>
      <c r="BG4" s="150" t="str">
        <f>BG3&amp;"_distance_target"</f>
        <v>TrailRun_distance_target</v>
      </c>
      <c r="BH4" s="150" t="str">
        <f>BH3&amp;"_time_target"</f>
        <v>Swim_time_target</v>
      </c>
      <c r="BI4" s="150" t="str">
        <f>BI3&amp;"_distance_target"</f>
        <v>Walk_distance_target</v>
      </c>
      <c r="BJ4" s="50"/>
      <c r="BK4" s="65" t="s">
        <v>88</v>
      </c>
    </row>
    <row r="5" spans="1:63" ht="15" thickBot="1" x14ac:dyDescent="0.4">
      <c r="A5" s="66">
        <v>1</v>
      </c>
      <c r="B5" s="67">
        <f>WEEKNUM(C5,2)</f>
        <v>2</v>
      </c>
      <c r="C5" s="68">
        <f>ATP_Conditions!C3</f>
        <v>46027</v>
      </c>
      <c r="D5" s="69" t="str">
        <f>WEEKNUM(C5,2)&amp;"-"&amp;YEAR(C5)</f>
        <v>2-2026</v>
      </c>
      <c r="E5" s="70" t="str">
        <f>_xlfn.IFNA(VLOOKUP(D5,Race_Calendar!D:F,2,FALSE),"-")</f>
        <v>-</v>
      </c>
      <c r="F5" s="67" t="str">
        <f>_xlfn.IFNA(VLOOKUP($D5,Race_Calendar!$D:$F,3,FALSE),"-")</f>
        <v>-</v>
      </c>
      <c r="G5" s="175" t="str">
        <f>_xlfn.IFNA(VLOOKUP($D5,Race_Calendar!$D:$G,4,FALSE),"-")</f>
        <v>-</v>
      </c>
      <c r="H5" s="71"/>
      <c r="I5" s="104" t="s">
        <v>72</v>
      </c>
      <c r="J5" s="198">
        <v>1</v>
      </c>
      <c r="K5" s="103" t="str">
        <f>IF(OR(I5="Race",I5="Trans",I5="Prep",I5="Rest"),I5,I5&amp;"-"&amp;J5)</f>
        <v>Base 2-1</v>
      </c>
      <c r="L5" s="73"/>
      <c r="M5" s="69"/>
      <c r="N5" s="74">
        <f>VLOOKUP(K5,ATP_Conditions!M:N,2,FALSE)-ATP_Conditions!$C$7</f>
        <v>440</v>
      </c>
      <c r="O5" s="75">
        <f ca="1">SUM(T5,W5,Z5,AC5,AF5,AI5,AL5,AO5)+ATP_Conditions!$C$7</f>
        <v>405</v>
      </c>
      <c r="P5" s="72">
        <f ca="1">SUM(U5,X5,AA5,AD5,AG5,AJ5,AM5,AP5)</f>
        <v>405</v>
      </c>
      <c r="Q5" s="75">
        <f ca="1">O5-$N5</f>
        <v>-35</v>
      </c>
      <c r="R5" s="76">
        <f ca="1">P5-$N5</f>
        <v>-35</v>
      </c>
      <c r="S5" s="77">
        <f ca="1">MROUND(T5,5)</f>
        <v>80</v>
      </c>
      <c r="T5" s="106">
        <f ca="1">MROUND(U5,5)</f>
        <v>80</v>
      </c>
      <c r="U5" s="78" cm="1">
        <f t="array" aca="1" ref="U5" ca="1">IF(T$3="None",0,(INDIRECT("TABLE_WTL[@[" &amp; U$4 &amp; "]]")))</f>
        <v>78</v>
      </c>
      <c r="V5" s="77">
        <f ca="1">MROUND(W5,5)</f>
        <v>0</v>
      </c>
      <c r="W5" s="108">
        <f ca="1">MROUND(X5,5)</f>
        <v>0</v>
      </c>
      <c r="X5" s="78" cm="1">
        <f t="array" aca="1" ref="X5" ca="1">IF(W$3="None",0,(INDIRECT("TABLE_WTL[@[" &amp; X$4 &amp; "]]")))</f>
        <v>0</v>
      </c>
      <c r="Y5" s="77">
        <f ca="1">MROUND(Z5,5)</f>
        <v>175</v>
      </c>
      <c r="Z5" s="106">
        <f ca="1">MROUND(AA5,5)</f>
        <v>175</v>
      </c>
      <c r="AA5" s="78" cm="1">
        <f t="array" aca="1" ref="AA5" ca="1">IF(Z$3="None",0,(INDIRECT("TABLE_WTL[@[" &amp; AA$4 &amp; "]]")))</f>
        <v>177</v>
      </c>
      <c r="AB5" s="77">
        <f ca="1">MROUND(AC5,5)</f>
        <v>150</v>
      </c>
      <c r="AC5" s="106">
        <f ca="1">MROUND(AD5,5)</f>
        <v>150</v>
      </c>
      <c r="AD5" s="78" cm="1">
        <f t="array" aca="1" ref="AD5" ca="1">IF(AC$3="None",0,(INDIRECT("TABLE_WTL[@[" &amp; AD$4 &amp; "]]")))</f>
        <v>150</v>
      </c>
      <c r="AE5" s="77">
        <f ca="1">MROUND(AF5,5)</f>
        <v>0</v>
      </c>
      <c r="AF5" s="106">
        <f ca="1">MROUND(AG5,5)</f>
        <v>0</v>
      </c>
      <c r="AG5" s="78" cm="1">
        <f t="array" aca="1" ref="AG5" ca="1">IF(AF$3="None",0,(INDIRECT("TABLE_WTL[@[" &amp; AG$4 &amp; "]]")))</f>
        <v>0</v>
      </c>
      <c r="AH5" s="77">
        <f ca="1">MROUND(AI5,5)</f>
        <v>0</v>
      </c>
      <c r="AI5" s="108">
        <f ca="1">MROUND(AJ5,5)</f>
        <v>0</v>
      </c>
      <c r="AJ5" s="78" cm="1">
        <f t="array" aca="1" ref="AJ5" ca="1">IF(AI$3="None",0,(INDIRECT("TABLE_WTL[@[" &amp; AJ$4 &amp; "]]")))</f>
        <v>0</v>
      </c>
      <c r="AK5" s="77">
        <f ca="1">MROUND(AL5,5)</f>
        <v>0</v>
      </c>
      <c r="AL5" s="108">
        <f ca="1">MROUND(AM5,5)</f>
        <v>0</v>
      </c>
      <c r="AM5" s="78" cm="1">
        <f t="array" aca="1" ref="AM5" ca="1">IF(AL$3="None",0,(INDIRECT("TABLE_WTL[@[" &amp; AM$4 &amp; "]]")))</f>
        <v>0</v>
      </c>
      <c r="AN5" s="77">
        <f ca="1">MROUND(AO5,5)</f>
        <v>0</v>
      </c>
      <c r="AO5" s="190">
        <f ca="1">MROUND(AP5,5)</f>
        <v>0</v>
      </c>
      <c r="AP5" s="78" cm="1">
        <f t="array" aca="1" ref="AP5" ca="1">IF(AO$3="None",0,(INDIRECT("TABLE_WTL[@[" &amp; AP$4 &amp; "]]")))</f>
        <v>0</v>
      </c>
      <c r="AQ5" s="79"/>
      <c r="AR5" s="110">
        <v>1</v>
      </c>
      <c r="AS5" s="111"/>
      <c r="AT5" s="111"/>
      <c r="AU5" s="111"/>
      <c r="AV5" s="111"/>
      <c r="AW5" s="111"/>
      <c r="AX5" s="112"/>
      <c r="AY5" s="79"/>
      <c r="AZ5" s="128"/>
      <c r="BA5" s="50"/>
      <c r="BB5" s="119"/>
      <c r="BC5" s="120"/>
      <c r="BD5" s="120"/>
      <c r="BE5" s="120"/>
      <c r="BF5" s="120"/>
      <c r="BG5" s="120"/>
      <c r="BH5" s="120"/>
      <c r="BI5" s="121"/>
      <c r="BJ5" s="50"/>
      <c r="BK5" s="80">
        <f>N5/ATP_Conditions!$C$8</f>
        <v>6.2857142857142856</v>
      </c>
    </row>
    <row r="6" spans="1:63" ht="15" thickBot="1" x14ac:dyDescent="0.4">
      <c r="A6" s="30">
        <f>A5+1</f>
        <v>2</v>
      </c>
      <c r="B6" s="81">
        <f t="shared" ref="B6:B54" si="0">WEEKNUM(C6,2)</f>
        <v>3</v>
      </c>
      <c r="C6" s="82">
        <f>C5+7</f>
        <v>46034</v>
      </c>
      <c r="D6" s="83" t="str">
        <f t="shared" ref="D6:D55" si="1">WEEKNUM(C6,2)&amp;"-"&amp;YEAR(C6)</f>
        <v>3-2026</v>
      </c>
      <c r="E6" s="84" t="str">
        <f>_xlfn.IFNA(VLOOKUP(D6,Race_Calendar!D:F,2,FALSE),"-")</f>
        <v>-</v>
      </c>
      <c r="F6" s="81" t="str">
        <f>_xlfn.IFNA(VLOOKUP($D6,Race_Calendar!$D:$F,3,FALSE),"-")</f>
        <v>-</v>
      </c>
      <c r="G6" s="175" t="str">
        <f>_xlfn.IFNA(VLOOKUP($D6,Race_Calendar!$D:$G,4,FALSE),"-")</f>
        <v>-</v>
      </c>
      <c r="H6" s="85"/>
      <c r="I6" s="104" t="s">
        <v>72</v>
      </c>
      <c r="J6" s="199">
        <v>2</v>
      </c>
      <c r="K6" s="105" t="str">
        <f>IF(OR(,I6="Race",I6="Trans",I6="Prep"),I6,I6&amp;"-"&amp;J6)</f>
        <v>Base 2-2</v>
      </c>
      <c r="L6" s="86"/>
      <c r="M6" s="83"/>
      <c r="N6" s="87">
        <f>VLOOKUP(K6,ATP_Conditions!M:N,2,FALSE)</f>
        <v>500</v>
      </c>
      <c r="O6" s="30">
        <f ca="1">SUM(T6,W6,Z6,AC6,AF6,AI6,AL6,AO6)+ATP_Conditions!$C$7</f>
        <v>390</v>
      </c>
      <c r="P6" s="31">
        <f t="shared" ref="P6:P36" ca="1" si="2">SUM(U6,X6,AA6,AD6,AG6,AJ6,AM6,AP6)</f>
        <v>387</v>
      </c>
      <c r="Q6" s="75">
        <f t="shared" ref="Q6:Q37" ca="1" si="3">O6-N6</f>
        <v>-110</v>
      </c>
      <c r="R6" s="76">
        <f t="shared" ref="R6:R55" ca="1" si="4">P6-$N6</f>
        <v>-113</v>
      </c>
      <c r="S6" s="88">
        <f t="shared" ref="S6:S54" ca="1" si="5">MROUND(T6,5)</f>
        <v>90</v>
      </c>
      <c r="T6" s="106">
        <f t="shared" ref="T6:T56" ca="1" si="6">MROUND(U6,5)</f>
        <v>90</v>
      </c>
      <c r="U6" s="78" cm="1">
        <f t="array" aca="1" ref="U6" ca="1">IF(T$3="None",0,(INDIRECT("TABLE_WTL[@[" &amp; U$4 &amp; "]]")))</f>
        <v>88</v>
      </c>
      <c r="V6" s="88">
        <f t="shared" ref="V6:V54" ca="1" si="7">MROUND(W6,5)</f>
        <v>0</v>
      </c>
      <c r="W6" s="106">
        <f t="shared" ref="W6:W56" ca="1" si="8">MROUND(X6,5)</f>
        <v>0</v>
      </c>
      <c r="X6" s="78" cm="1">
        <f t="array" aca="1" ref="X6" ca="1">IF(W$3="None",0,(INDIRECT("TABLE_WTL[@[" &amp; X$4 &amp; "]]")))</f>
        <v>0</v>
      </c>
      <c r="Y6" s="88">
        <f t="shared" ref="Y6:Y54" ca="1" si="9">MROUND(Z6,5)</f>
        <v>150</v>
      </c>
      <c r="Z6" s="106">
        <f t="shared" ref="Z6:Z56" ca="1" si="10">MROUND(AA6,5)</f>
        <v>150</v>
      </c>
      <c r="AA6" s="78" cm="1">
        <f t="array" aca="1" ref="AA6" ca="1">IF(Z$3="None",0,(INDIRECT("TABLE_WTL[@[" &amp; AA$4 &amp; "]]")))</f>
        <v>149</v>
      </c>
      <c r="AB6" s="88">
        <f t="shared" ref="AB6:AB54" ca="1" si="11">MROUND(AC6,5)</f>
        <v>150</v>
      </c>
      <c r="AC6" s="106">
        <f t="shared" ref="AC6:AC56" ca="1" si="12">MROUND(AD6,5)</f>
        <v>150</v>
      </c>
      <c r="AD6" s="78" cm="1">
        <f t="array" aca="1" ref="AD6" ca="1">IF(AC$3="None",0,(INDIRECT("TABLE_WTL[@[" &amp; AD$4 &amp; "]]")))</f>
        <v>150</v>
      </c>
      <c r="AE6" s="88">
        <f t="shared" ref="AE6:AE54" ca="1" si="13">MROUND(AF6,5)</f>
        <v>0</v>
      </c>
      <c r="AF6" s="106">
        <f t="shared" ref="AF6:AF56" ca="1" si="14">MROUND(AG6,5)</f>
        <v>0</v>
      </c>
      <c r="AG6" s="78" cm="1">
        <f t="array" aca="1" ref="AG6" ca="1">IF(AF$3="None",0,(INDIRECT("TABLE_WTL[@[" &amp; AG$4 &amp; "]]")))</f>
        <v>0</v>
      </c>
      <c r="AH6" s="88">
        <f t="shared" ref="AH6:AH54" ca="1" si="15">MROUND(AI6,5)</f>
        <v>0</v>
      </c>
      <c r="AI6" s="106">
        <f t="shared" ref="AI6:AI56" ca="1" si="16">MROUND(AJ6,5)</f>
        <v>0</v>
      </c>
      <c r="AJ6" s="78" cm="1">
        <f t="array" aca="1" ref="AJ6" ca="1">IF(AI$3="None",0,(INDIRECT("TABLE_WTL[@[" &amp; AJ$4 &amp; "]]")))</f>
        <v>0</v>
      </c>
      <c r="AK6" s="88">
        <f t="shared" ref="AK6:AK54" ca="1" si="17">MROUND(AL6,5)</f>
        <v>0</v>
      </c>
      <c r="AL6" s="106">
        <f t="shared" ref="AL6:AL56" ca="1" si="18">MROUND(AM6,5)</f>
        <v>0</v>
      </c>
      <c r="AM6" s="78" cm="1">
        <f t="array" aca="1" ref="AM6" ca="1">IF(AL$3="None",0,(INDIRECT("TABLE_WTL[@[" &amp; AM$4 &amp; "]]")))</f>
        <v>0</v>
      </c>
      <c r="AN6" s="88">
        <f t="shared" ref="AN6:AN54" ca="1" si="19">MROUND(AO6,5)</f>
        <v>0</v>
      </c>
      <c r="AO6" s="106">
        <f t="shared" ref="AO6:AO56" ca="1" si="20">MROUND(AP6,5)</f>
        <v>0</v>
      </c>
      <c r="AP6" s="78" cm="1">
        <f t="array" aca="1" ref="AP6" ca="1">IF(AO$3="None",0,(INDIRECT("TABLE_WTL[@[" &amp; AP$4 &amp; "]]")))</f>
        <v>0</v>
      </c>
      <c r="AQ6" s="89"/>
      <c r="AR6" s="109"/>
      <c r="AS6" s="113" t="s">
        <v>96</v>
      </c>
      <c r="AT6" s="113"/>
      <c r="AU6" s="113" t="s">
        <v>96</v>
      </c>
      <c r="AV6" s="113" t="s">
        <v>96</v>
      </c>
      <c r="AW6" s="113"/>
      <c r="AX6" s="114">
        <v>1</v>
      </c>
      <c r="AY6" s="89"/>
      <c r="AZ6" s="129" t="s">
        <v>24</v>
      </c>
      <c r="BA6" s="50"/>
      <c r="BB6" s="122"/>
      <c r="BC6" s="123"/>
      <c r="BD6" s="123"/>
      <c r="BE6" s="123"/>
      <c r="BF6" s="123"/>
      <c r="BG6" s="123"/>
      <c r="BH6" s="123"/>
      <c r="BI6" s="124">
        <v>20</v>
      </c>
      <c r="BJ6" s="50"/>
      <c r="BK6" s="80">
        <f>N6/ATP_Conditions!$C$8</f>
        <v>7.1428571428571432</v>
      </c>
    </row>
    <row r="7" spans="1:63" ht="15" thickBot="1" x14ac:dyDescent="0.4">
      <c r="A7" s="30">
        <f t="shared" ref="A7:A55" si="21">A6+1</f>
        <v>3</v>
      </c>
      <c r="B7" s="81">
        <f t="shared" si="0"/>
        <v>4</v>
      </c>
      <c r="C7" s="82">
        <f t="shared" ref="C7:C55" si="22">C6+7</f>
        <v>46041</v>
      </c>
      <c r="D7" s="83" t="str">
        <f t="shared" si="1"/>
        <v>4-2026</v>
      </c>
      <c r="E7" s="84" t="str">
        <f>_xlfn.IFNA(VLOOKUP(D7,Race_Calendar!D:F,2,FALSE),"-")</f>
        <v>-</v>
      </c>
      <c r="F7" s="81" t="str">
        <f>_xlfn.IFNA(VLOOKUP($D7,Race_Calendar!$D:$F,3,FALSE),"-")</f>
        <v>-</v>
      </c>
      <c r="G7" s="175" t="str">
        <f>_xlfn.IFNA(VLOOKUP($D7,Race_Calendar!$D:$G,4,FALSE),"-")</f>
        <v>-</v>
      </c>
      <c r="H7" s="85"/>
      <c r="I7" s="104" t="s">
        <v>72</v>
      </c>
      <c r="J7" s="200">
        <v>3</v>
      </c>
      <c r="K7" s="105" t="str">
        <f t="shared" ref="K7:K55" si="23">IF(OR(,I7="Race",I7="Trans",I7="Prep"),I7,I7&amp;"-"&amp;J7)</f>
        <v>Base 2-3</v>
      </c>
      <c r="L7" s="86"/>
      <c r="M7" s="83"/>
      <c r="N7" s="87">
        <f>VLOOKUP(K7,ATP_Conditions!M:N,2,FALSE)</f>
        <v>560</v>
      </c>
      <c r="O7" s="30">
        <f ca="1">SUM(T7,W7,Z7,AC7,AF7,AI7,AL7,AO7)+ATP_Conditions!$C$7</f>
        <v>445</v>
      </c>
      <c r="P7" s="31">
        <f t="shared" ca="1" si="2"/>
        <v>446</v>
      </c>
      <c r="Q7" s="75">
        <f t="shared" ca="1" si="3"/>
        <v>-115</v>
      </c>
      <c r="R7" s="76">
        <f t="shared" ca="1" si="4"/>
        <v>-114</v>
      </c>
      <c r="S7" s="88">
        <f t="shared" ca="1" si="5"/>
        <v>120</v>
      </c>
      <c r="T7" s="106">
        <f t="shared" ca="1" si="6"/>
        <v>120</v>
      </c>
      <c r="U7" s="78" cm="1">
        <f t="array" aca="1" ref="U7" ca="1">IF(T$3="None",0,(INDIRECT("TABLE_WTL[@[" &amp; U$4 &amp; "]]")))</f>
        <v>119</v>
      </c>
      <c r="V7" s="88">
        <f t="shared" ca="1" si="7"/>
        <v>0</v>
      </c>
      <c r="W7" s="106">
        <f t="shared" ca="1" si="8"/>
        <v>0</v>
      </c>
      <c r="X7" s="78" cm="1">
        <f t="array" aca="1" ref="X7" ca="1">IF(W$3="None",0,(INDIRECT("TABLE_WTL[@[" &amp; X$4 &amp; "]]")))</f>
        <v>0</v>
      </c>
      <c r="Y7" s="88">
        <f t="shared" ca="1" si="9"/>
        <v>175</v>
      </c>
      <c r="Z7" s="106">
        <f t="shared" ca="1" si="10"/>
        <v>175</v>
      </c>
      <c r="AA7" s="78" cm="1">
        <f t="array" aca="1" ref="AA7" ca="1">IF(Z$3="None",0,(INDIRECT("TABLE_WTL[@[" &amp; AA$4 &amp; "]]")))</f>
        <v>177</v>
      </c>
      <c r="AB7" s="88">
        <f t="shared" ca="1" si="11"/>
        <v>150</v>
      </c>
      <c r="AC7" s="106">
        <f t="shared" ca="1" si="12"/>
        <v>150</v>
      </c>
      <c r="AD7" s="78" cm="1">
        <f t="array" aca="1" ref="AD7" ca="1">IF(AC$3="None",0,(INDIRECT("TABLE_WTL[@[" &amp; AD$4 &amp; "]]")))</f>
        <v>150</v>
      </c>
      <c r="AE7" s="88">
        <f t="shared" ca="1" si="13"/>
        <v>0</v>
      </c>
      <c r="AF7" s="106">
        <f t="shared" ca="1" si="14"/>
        <v>0</v>
      </c>
      <c r="AG7" s="78" cm="1">
        <f t="array" aca="1" ref="AG7" ca="1">IF(AF$3="None",0,(INDIRECT("TABLE_WTL[@[" &amp; AG$4 &amp; "]]")))</f>
        <v>0</v>
      </c>
      <c r="AH7" s="88">
        <f t="shared" ca="1" si="15"/>
        <v>0</v>
      </c>
      <c r="AI7" s="106">
        <f t="shared" ca="1" si="16"/>
        <v>0</v>
      </c>
      <c r="AJ7" s="78" cm="1">
        <f t="array" aca="1" ref="AJ7" ca="1">IF(AI$3="None",0,(INDIRECT("TABLE_WTL[@[" &amp; AJ$4 &amp; "]]")))</f>
        <v>0</v>
      </c>
      <c r="AK7" s="88">
        <f t="shared" ca="1" si="17"/>
        <v>0</v>
      </c>
      <c r="AL7" s="106">
        <f t="shared" ca="1" si="18"/>
        <v>0</v>
      </c>
      <c r="AM7" s="78" cm="1">
        <f t="array" aca="1" ref="AM7" ca="1">IF(AL$3="None",0,(INDIRECT("TABLE_WTL[@[" &amp; AM$4 &amp; "]]")))</f>
        <v>0</v>
      </c>
      <c r="AN7" s="88">
        <f t="shared" ca="1" si="19"/>
        <v>0</v>
      </c>
      <c r="AO7" s="106">
        <f t="shared" ca="1" si="20"/>
        <v>0</v>
      </c>
      <c r="AP7" s="78" cm="1">
        <f t="array" aca="1" ref="AP7" ca="1">IF(AO$3="None",0,(INDIRECT("TABLE_WTL[@[" &amp; AP$4 &amp; "]]")))</f>
        <v>0</v>
      </c>
      <c r="AQ7" s="89"/>
      <c r="AR7" s="109">
        <v>1</v>
      </c>
      <c r="AS7" s="113" t="s">
        <v>96</v>
      </c>
      <c r="AT7" s="113" t="s">
        <v>96</v>
      </c>
      <c r="AU7" s="113" t="s">
        <v>96</v>
      </c>
      <c r="AV7" s="113" t="s">
        <v>96</v>
      </c>
      <c r="AW7" s="113"/>
      <c r="AX7" s="114">
        <v>1</v>
      </c>
      <c r="AY7" s="89"/>
      <c r="AZ7" s="129" t="s">
        <v>25</v>
      </c>
      <c r="BA7" s="50"/>
      <c r="BB7" s="122"/>
      <c r="BC7" s="123"/>
      <c r="BD7" s="123"/>
      <c r="BE7" s="123"/>
      <c r="BF7" s="123"/>
      <c r="BG7" s="123"/>
      <c r="BH7" s="123"/>
      <c r="BI7" s="124"/>
      <c r="BJ7" s="50"/>
      <c r="BK7" s="80">
        <f>N7/ATP_Conditions!$C$8</f>
        <v>8</v>
      </c>
    </row>
    <row r="8" spans="1:63" ht="15" thickBot="1" x14ac:dyDescent="0.4">
      <c r="A8" s="30">
        <f t="shared" si="21"/>
        <v>4</v>
      </c>
      <c r="B8" s="81">
        <f t="shared" si="0"/>
        <v>5</v>
      </c>
      <c r="C8" s="82">
        <f t="shared" si="22"/>
        <v>46048</v>
      </c>
      <c r="D8" s="83" t="str">
        <f t="shared" si="1"/>
        <v>5-2026</v>
      </c>
      <c r="E8" s="84" t="str">
        <f>_xlfn.IFNA(VLOOKUP(D8,Race_Calendar!D:F,2,FALSE),"-")</f>
        <v>-</v>
      </c>
      <c r="F8" s="81" t="str">
        <f>_xlfn.IFNA(VLOOKUP($D8,Race_Calendar!$D:$F,3,FALSE),"-")</f>
        <v>-</v>
      </c>
      <c r="G8" s="175" t="str">
        <f>_xlfn.IFNA(VLOOKUP($D8,Race_Calendar!$D:$G,4,FALSE),"-")</f>
        <v>-</v>
      </c>
      <c r="H8" s="85"/>
      <c r="I8" s="104" t="s">
        <v>72</v>
      </c>
      <c r="J8" s="200" t="s">
        <v>99</v>
      </c>
      <c r="K8" s="105" t="str">
        <f t="shared" si="23"/>
        <v>Base 2-4</v>
      </c>
      <c r="L8" s="86"/>
      <c r="M8" s="83"/>
      <c r="N8" s="87">
        <f>VLOOKUP(K8,ATP_Conditions!M:N,2,FALSE)</f>
        <v>360</v>
      </c>
      <c r="O8" s="30">
        <f ca="1">SUM(T8,W8,Z8,AC8,AF8,AI8,AL8,AO8)+ATP_Conditions!$C$7</f>
        <v>355</v>
      </c>
      <c r="P8" s="31">
        <f t="shared" ca="1" si="2"/>
        <v>358</v>
      </c>
      <c r="Q8" s="75">
        <f t="shared" ca="1" si="3"/>
        <v>-5</v>
      </c>
      <c r="R8" s="76">
        <f t="shared" ca="1" si="4"/>
        <v>-2</v>
      </c>
      <c r="S8" s="88">
        <f t="shared" ca="1" si="5"/>
        <v>30</v>
      </c>
      <c r="T8" s="106">
        <f t="shared" ca="1" si="6"/>
        <v>30</v>
      </c>
      <c r="U8" s="78" cm="1">
        <f t="array" aca="1" ref="U8" ca="1">IF(T$3="None",0,(INDIRECT("TABLE_WTL[@[" &amp; U$4 &amp; "]]")))</f>
        <v>31</v>
      </c>
      <c r="V8" s="88">
        <f t="shared" ca="1" si="7"/>
        <v>0</v>
      </c>
      <c r="W8" s="106">
        <f t="shared" ca="1" si="8"/>
        <v>0</v>
      </c>
      <c r="X8" s="78" cm="1">
        <f t="array" aca="1" ref="X8" ca="1">IF(W$3="None",0,(INDIRECT("TABLE_WTL[@[" &amp; X$4 &amp; "]]")))</f>
        <v>0</v>
      </c>
      <c r="Y8" s="88">
        <f t="shared" ca="1" si="9"/>
        <v>175</v>
      </c>
      <c r="Z8" s="106">
        <f t="shared" ca="1" si="10"/>
        <v>175</v>
      </c>
      <c r="AA8" s="78" cm="1">
        <f t="array" aca="1" ref="AA8" ca="1">IF(Z$3="None",0,(INDIRECT("TABLE_WTL[@[" &amp; AA$4 &amp; "]]")))</f>
        <v>177</v>
      </c>
      <c r="AB8" s="88">
        <f t="shared" ca="1" si="11"/>
        <v>150</v>
      </c>
      <c r="AC8" s="106">
        <f t="shared" ca="1" si="12"/>
        <v>150</v>
      </c>
      <c r="AD8" s="78" cm="1">
        <f t="array" aca="1" ref="AD8" ca="1">IF(AC$3="None",0,(INDIRECT("TABLE_WTL[@[" &amp; AD$4 &amp; "]]")))</f>
        <v>150</v>
      </c>
      <c r="AE8" s="88">
        <f t="shared" ca="1" si="13"/>
        <v>0</v>
      </c>
      <c r="AF8" s="106">
        <f t="shared" ca="1" si="14"/>
        <v>0</v>
      </c>
      <c r="AG8" s="78" cm="1">
        <f t="array" aca="1" ref="AG8" ca="1">IF(AF$3="None",0,(INDIRECT("TABLE_WTL[@[" &amp; AG$4 &amp; "]]")))</f>
        <v>0</v>
      </c>
      <c r="AH8" s="88">
        <f t="shared" ca="1" si="15"/>
        <v>0</v>
      </c>
      <c r="AI8" s="106">
        <f t="shared" ca="1" si="16"/>
        <v>0</v>
      </c>
      <c r="AJ8" s="78" cm="1">
        <f t="array" aca="1" ref="AJ8" ca="1">IF(AI$3="None",0,(INDIRECT("TABLE_WTL[@[" &amp; AJ$4 &amp; "]]")))</f>
        <v>0</v>
      </c>
      <c r="AK8" s="88">
        <f t="shared" ca="1" si="17"/>
        <v>0</v>
      </c>
      <c r="AL8" s="106">
        <f t="shared" ca="1" si="18"/>
        <v>0</v>
      </c>
      <c r="AM8" s="78" cm="1">
        <f t="array" aca="1" ref="AM8" ca="1">IF(AL$3="None",0,(INDIRECT("TABLE_WTL[@[" &amp; AM$4 &amp; "]]")))</f>
        <v>0</v>
      </c>
      <c r="AN8" s="88">
        <f t="shared" ca="1" si="19"/>
        <v>0</v>
      </c>
      <c r="AO8" s="106">
        <f t="shared" ca="1" si="20"/>
        <v>0</v>
      </c>
      <c r="AP8" s="78" cm="1">
        <f t="array" aca="1" ref="AP8" ca="1">IF(AO$3="None",0,(INDIRECT("TABLE_WTL[@[" &amp; AP$4 &amp; "]]")))</f>
        <v>0</v>
      </c>
      <c r="AQ8" s="89"/>
      <c r="AR8" s="109"/>
      <c r="AS8" s="113" t="s">
        <v>96</v>
      </c>
      <c r="AT8" s="113"/>
      <c r="AU8" s="113" t="s">
        <v>96</v>
      </c>
      <c r="AV8" s="113" t="s">
        <v>96</v>
      </c>
      <c r="AW8" s="113"/>
      <c r="AX8" s="114"/>
      <c r="AY8" s="89"/>
      <c r="AZ8" s="129"/>
      <c r="BA8" s="50"/>
      <c r="BB8" s="122"/>
      <c r="BC8" s="123"/>
      <c r="BD8" s="123"/>
      <c r="BE8" s="123"/>
      <c r="BF8" s="123"/>
      <c r="BG8" s="123"/>
      <c r="BH8" s="123"/>
      <c r="BI8" s="124"/>
      <c r="BJ8" s="50"/>
      <c r="BK8" s="80">
        <f>N8/ATP_Conditions!$C$8</f>
        <v>5.1428571428571432</v>
      </c>
    </row>
    <row r="9" spans="1:63" ht="15" thickBot="1" x14ac:dyDescent="0.4">
      <c r="A9" s="30">
        <f t="shared" si="21"/>
        <v>5</v>
      </c>
      <c r="B9" s="81">
        <f t="shared" si="0"/>
        <v>6</v>
      </c>
      <c r="C9" s="82">
        <f t="shared" si="22"/>
        <v>46055</v>
      </c>
      <c r="D9" s="83" t="str">
        <f t="shared" si="1"/>
        <v>6-2026</v>
      </c>
      <c r="E9" s="84" t="str">
        <f>_xlfn.IFNA(VLOOKUP(D9,Race_Calendar!D:F,2,FALSE),"-")</f>
        <v>-</v>
      </c>
      <c r="F9" s="81" t="str">
        <f>_xlfn.IFNA(VLOOKUP($D9,Race_Calendar!$D:$F,3,FALSE),"-")</f>
        <v>-</v>
      </c>
      <c r="G9" s="175" t="str">
        <f>_xlfn.IFNA(VLOOKUP($D9,Race_Calendar!$D:$G,4,FALSE),"-")</f>
        <v>-</v>
      </c>
      <c r="H9" s="85"/>
      <c r="I9" s="104" t="s">
        <v>75</v>
      </c>
      <c r="J9" s="200" t="s">
        <v>96</v>
      </c>
      <c r="K9" s="105" t="str">
        <f t="shared" si="23"/>
        <v>Base 3-1</v>
      </c>
      <c r="L9" s="86"/>
      <c r="M9" s="83"/>
      <c r="N9" s="87">
        <f>VLOOKUP(K9,ATP_Conditions!M:N,2,FALSE)</f>
        <v>500</v>
      </c>
      <c r="O9" s="30">
        <f ca="1">SUM(T9,W9,Z9,AC9,AF9,AI9,AL9,AO9)+ATP_Conditions!$C$7</f>
        <v>355</v>
      </c>
      <c r="P9" s="31">
        <f t="shared" ca="1" si="2"/>
        <v>358</v>
      </c>
      <c r="Q9" s="75">
        <f t="shared" ca="1" si="3"/>
        <v>-145</v>
      </c>
      <c r="R9" s="76">
        <f t="shared" ca="1" si="4"/>
        <v>-142</v>
      </c>
      <c r="S9" s="88">
        <f t="shared" ca="1" si="5"/>
        <v>30</v>
      </c>
      <c r="T9" s="106">
        <f t="shared" ca="1" si="6"/>
        <v>30</v>
      </c>
      <c r="U9" s="78" cm="1">
        <f t="array" aca="1" ref="U9" ca="1">IF(T$3="None",0,(INDIRECT("TABLE_WTL[@[" &amp; U$4 &amp; "]]")))</f>
        <v>31</v>
      </c>
      <c r="V9" s="88">
        <f t="shared" ca="1" si="7"/>
        <v>0</v>
      </c>
      <c r="W9" s="106">
        <f t="shared" ca="1" si="8"/>
        <v>0</v>
      </c>
      <c r="X9" s="78" cm="1">
        <f t="array" aca="1" ref="X9" ca="1">IF(W$3="None",0,(INDIRECT("TABLE_WTL[@[" &amp; X$4 &amp; "]]")))</f>
        <v>0</v>
      </c>
      <c r="Y9" s="88">
        <f t="shared" ca="1" si="9"/>
        <v>175</v>
      </c>
      <c r="Z9" s="106">
        <f t="shared" ca="1" si="10"/>
        <v>175</v>
      </c>
      <c r="AA9" s="78" cm="1">
        <f t="array" aca="1" ref="AA9" ca="1">IF(Z$3="None",0,(INDIRECT("TABLE_WTL[@[" &amp; AA$4 &amp; "]]")))</f>
        <v>177</v>
      </c>
      <c r="AB9" s="88">
        <f t="shared" ca="1" si="11"/>
        <v>150</v>
      </c>
      <c r="AC9" s="106">
        <f t="shared" ca="1" si="12"/>
        <v>150</v>
      </c>
      <c r="AD9" s="78" cm="1">
        <f t="array" aca="1" ref="AD9" ca="1">IF(AC$3="None",0,(INDIRECT("TABLE_WTL[@[" &amp; AD$4 &amp; "]]")))</f>
        <v>150</v>
      </c>
      <c r="AE9" s="88">
        <f t="shared" ca="1" si="13"/>
        <v>0</v>
      </c>
      <c r="AF9" s="106">
        <f t="shared" ca="1" si="14"/>
        <v>0</v>
      </c>
      <c r="AG9" s="78" cm="1">
        <f t="array" aca="1" ref="AG9" ca="1">IF(AF$3="None",0,(INDIRECT("TABLE_WTL[@[" &amp; AG$4 &amp; "]]")))</f>
        <v>0</v>
      </c>
      <c r="AH9" s="88">
        <f t="shared" ca="1" si="15"/>
        <v>0</v>
      </c>
      <c r="AI9" s="106">
        <f t="shared" ca="1" si="16"/>
        <v>0</v>
      </c>
      <c r="AJ9" s="78" cm="1">
        <f t="array" aca="1" ref="AJ9" ca="1">IF(AI$3="None",0,(INDIRECT("TABLE_WTL[@[" &amp; AJ$4 &amp; "]]")))</f>
        <v>0</v>
      </c>
      <c r="AK9" s="88">
        <f t="shared" ca="1" si="17"/>
        <v>0</v>
      </c>
      <c r="AL9" s="106">
        <f t="shared" ca="1" si="18"/>
        <v>0</v>
      </c>
      <c r="AM9" s="78" cm="1">
        <f t="array" aca="1" ref="AM9" ca="1">IF(AL$3="None",0,(INDIRECT("TABLE_WTL[@[" &amp; AM$4 &amp; "]]")))</f>
        <v>0</v>
      </c>
      <c r="AN9" s="88">
        <f t="shared" ca="1" si="19"/>
        <v>0</v>
      </c>
      <c r="AO9" s="106">
        <f t="shared" ca="1" si="20"/>
        <v>0</v>
      </c>
      <c r="AP9" s="78" cm="1">
        <f t="array" aca="1" ref="AP9" ca="1">IF(AO$3="None",0,(INDIRECT("TABLE_WTL[@[" &amp; AP$4 &amp; "]]")))</f>
        <v>0</v>
      </c>
      <c r="AQ9" s="89"/>
      <c r="AR9" s="109">
        <v>1</v>
      </c>
      <c r="AS9" s="113" t="s">
        <v>96</v>
      </c>
      <c r="AT9" s="113" t="s">
        <v>96</v>
      </c>
      <c r="AU9" s="113" t="s">
        <v>96</v>
      </c>
      <c r="AV9" s="113"/>
      <c r="AW9" s="113" t="s">
        <v>96</v>
      </c>
      <c r="AX9" s="114"/>
      <c r="AY9" s="89"/>
      <c r="AZ9" s="129"/>
      <c r="BA9" s="50"/>
      <c r="BB9" s="122"/>
      <c r="BC9" s="123"/>
      <c r="BD9" s="123"/>
      <c r="BE9" s="123"/>
      <c r="BF9" s="123"/>
      <c r="BG9" s="123"/>
      <c r="BH9" s="123"/>
      <c r="BI9" s="124"/>
      <c r="BJ9" s="50"/>
      <c r="BK9" s="80">
        <f>N9/ATP_Conditions!$C$8</f>
        <v>7.1428571428571432</v>
      </c>
    </row>
    <row r="10" spans="1:63" ht="15" thickBot="1" x14ac:dyDescent="0.4">
      <c r="A10" s="30">
        <f t="shared" si="21"/>
        <v>6</v>
      </c>
      <c r="B10" s="81">
        <f t="shared" si="0"/>
        <v>7</v>
      </c>
      <c r="C10" s="82">
        <f t="shared" si="22"/>
        <v>46062</v>
      </c>
      <c r="D10" s="83" t="str">
        <f t="shared" si="1"/>
        <v>7-2026</v>
      </c>
      <c r="E10" s="84" t="str">
        <f>_xlfn.IFNA(VLOOKUP(D10,Race_Calendar!D:F,2,FALSE),"-")</f>
        <v>-</v>
      </c>
      <c r="F10" s="81" t="str">
        <f>_xlfn.IFNA(VLOOKUP($D10,Race_Calendar!$D:$F,3,FALSE),"-")</f>
        <v>-</v>
      </c>
      <c r="G10" s="175" t="str">
        <f>_xlfn.IFNA(VLOOKUP($D10,Race_Calendar!$D:$G,4,FALSE),"-")</f>
        <v>-</v>
      </c>
      <c r="H10" s="85"/>
      <c r="I10" s="104" t="s">
        <v>75</v>
      </c>
      <c r="J10" s="200" t="s">
        <v>97</v>
      </c>
      <c r="K10" s="105" t="str">
        <f t="shared" si="23"/>
        <v>Base 3-2</v>
      </c>
      <c r="L10" s="86"/>
      <c r="M10" s="83"/>
      <c r="N10" s="87">
        <f>VLOOKUP(K10,ATP_Conditions!M:N,2,FALSE)</f>
        <v>560</v>
      </c>
      <c r="O10" s="30">
        <f ca="1">SUM(T10,W10,Z10,AC10,AF10,AI10,AL10,AO10)+ATP_Conditions!$C$7</f>
        <v>420</v>
      </c>
      <c r="P10" s="31">
        <f t="shared" ca="1" si="2"/>
        <v>420</v>
      </c>
      <c r="Q10" s="75">
        <f t="shared" ca="1" si="3"/>
        <v>-140</v>
      </c>
      <c r="R10" s="76">
        <f t="shared" ca="1" si="4"/>
        <v>-140</v>
      </c>
      <c r="S10" s="88">
        <f t="shared" ca="1" si="5"/>
        <v>40</v>
      </c>
      <c r="T10" s="106">
        <f t="shared" ca="1" si="6"/>
        <v>40</v>
      </c>
      <c r="U10" s="78" cm="1">
        <f t="array" aca="1" ref="U10" ca="1">IF(T$3="None",0,(INDIRECT("TABLE_WTL[@[" &amp; U$4 &amp; "]]")))</f>
        <v>40</v>
      </c>
      <c r="V10" s="88">
        <f t="shared" ca="1" si="7"/>
        <v>0</v>
      </c>
      <c r="W10" s="106">
        <f t="shared" ca="1" si="8"/>
        <v>0</v>
      </c>
      <c r="X10" s="78" cm="1">
        <f t="array" aca="1" ref="X10" ca="1">IF(W$3="None",0,(INDIRECT("TABLE_WTL[@[" &amp; X$4 &amp; "]]")))</f>
        <v>0</v>
      </c>
      <c r="Y10" s="88">
        <f t="shared" ca="1" si="9"/>
        <v>230</v>
      </c>
      <c r="Z10" s="106">
        <f t="shared" ca="1" si="10"/>
        <v>230</v>
      </c>
      <c r="AA10" s="78" cm="1">
        <f t="array" aca="1" ref="AA10" ca="1">IF(Z$3="None",0,(INDIRECT("TABLE_WTL[@[" &amp; AA$4 &amp; "]]")))</f>
        <v>230</v>
      </c>
      <c r="AB10" s="88">
        <f t="shared" ca="1" si="11"/>
        <v>150</v>
      </c>
      <c r="AC10" s="106">
        <f t="shared" ca="1" si="12"/>
        <v>150</v>
      </c>
      <c r="AD10" s="78" cm="1">
        <f t="array" aca="1" ref="AD10" ca="1">IF(AC$3="None",0,(INDIRECT("TABLE_WTL[@[" &amp; AD$4 &amp; "]]")))</f>
        <v>150</v>
      </c>
      <c r="AE10" s="88">
        <f t="shared" ca="1" si="13"/>
        <v>0</v>
      </c>
      <c r="AF10" s="106">
        <f t="shared" ca="1" si="14"/>
        <v>0</v>
      </c>
      <c r="AG10" s="78" cm="1">
        <f t="array" aca="1" ref="AG10" ca="1">IF(AF$3="None",0,(INDIRECT("TABLE_WTL[@[" &amp; AG$4 &amp; "]]")))</f>
        <v>0</v>
      </c>
      <c r="AH10" s="88">
        <f t="shared" ca="1" si="15"/>
        <v>0</v>
      </c>
      <c r="AI10" s="106">
        <f t="shared" ca="1" si="16"/>
        <v>0</v>
      </c>
      <c r="AJ10" s="78" cm="1">
        <f t="array" aca="1" ref="AJ10" ca="1">IF(AI$3="None",0,(INDIRECT("TABLE_WTL[@[" &amp; AJ$4 &amp; "]]")))</f>
        <v>0</v>
      </c>
      <c r="AK10" s="88">
        <f t="shared" ca="1" si="17"/>
        <v>0</v>
      </c>
      <c r="AL10" s="106">
        <f t="shared" ca="1" si="18"/>
        <v>0</v>
      </c>
      <c r="AM10" s="78" cm="1">
        <f t="array" aca="1" ref="AM10" ca="1">IF(AL$3="None",0,(INDIRECT("TABLE_WTL[@[" &amp; AM$4 &amp; "]]")))</f>
        <v>0</v>
      </c>
      <c r="AN10" s="88">
        <f t="shared" ca="1" si="19"/>
        <v>0</v>
      </c>
      <c r="AO10" s="106">
        <f t="shared" ca="1" si="20"/>
        <v>0</v>
      </c>
      <c r="AP10" s="78" cm="1">
        <f t="array" aca="1" ref="AP10" ca="1">IF(AO$3="None",0,(INDIRECT("TABLE_WTL[@[" &amp; AP$4 &amp; "]]")))</f>
        <v>0</v>
      </c>
      <c r="AQ10" s="89"/>
      <c r="AR10" s="109"/>
      <c r="AS10" s="113" t="s">
        <v>96</v>
      </c>
      <c r="AT10" s="113" t="s">
        <v>96</v>
      </c>
      <c r="AU10" s="113" t="s">
        <v>96</v>
      </c>
      <c r="AV10" s="113"/>
      <c r="AW10" s="113" t="s">
        <v>96</v>
      </c>
      <c r="AX10" s="114"/>
      <c r="AY10" s="89"/>
      <c r="AZ10" s="129" t="s">
        <v>25</v>
      </c>
      <c r="BA10" s="50"/>
      <c r="BB10" s="122"/>
      <c r="BC10" s="123"/>
      <c r="BD10" s="123"/>
      <c r="BE10" s="123"/>
      <c r="BF10" s="123"/>
      <c r="BG10" s="123"/>
      <c r="BH10" s="123"/>
      <c r="BI10" s="124"/>
      <c r="BJ10" s="50"/>
      <c r="BK10" s="80">
        <f>N10/ATP_Conditions!$C$8</f>
        <v>8</v>
      </c>
    </row>
    <row r="11" spans="1:63" ht="15" thickBot="1" x14ac:dyDescent="0.4">
      <c r="A11" s="30">
        <f t="shared" si="21"/>
        <v>7</v>
      </c>
      <c r="B11" s="81">
        <f t="shared" si="0"/>
        <v>8</v>
      </c>
      <c r="C11" s="82">
        <f t="shared" si="22"/>
        <v>46069</v>
      </c>
      <c r="D11" s="83" t="str">
        <f t="shared" si="1"/>
        <v>8-2026</v>
      </c>
      <c r="E11" s="84" t="str">
        <f>_xlfn.IFNA(VLOOKUP(D11,Race_Calendar!D:F,2,FALSE),"-")</f>
        <v>-</v>
      </c>
      <c r="F11" s="81" t="str">
        <f>_xlfn.IFNA(VLOOKUP($D11,Race_Calendar!$D:$F,3,FALSE),"-")</f>
        <v>-</v>
      </c>
      <c r="G11" s="175" t="str">
        <f>_xlfn.IFNA(VLOOKUP($D11,Race_Calendar!$D:$G,4,FALSE),"-")</f>
        <v>-</v>
      </c>
      <c r="H11" s="85"/>
      <c r="I11" s="104" t="s">
        <v>75</v>
      </c>
      <c r="J11" s="200" t="s">
        <v>98</v>
      </c>
      <c r="K11" s="105" t="str">
        <f t="shared" si="23"/>
        <v>Base 3-3</v>
      </c>
      <c r="L11" s="86"/>
      <c r="M11" s="83"/>
      <c r="N11" s="87">
        <f>VLOOKUP(K11,ATP_Conditions!M:N,2,FALSE)</f>
        <v>620</v>
      </c>
      <c r="O11" s="30">
        <f ca="1">SUM(T11,W11,Z11,AC11,AF11,AI11,AL11,AO11)+ATP_Conditions!$C$7</f>
        <v>420</v>
      </c>
      <c r="P11" s="31">
        <f t="shared" ca="1" si="2"/>
        <v>419</v>
      </c>
      <c r="Q11" s="75">
        <f t="shared" ca="1" si="3"/>
        <v>-200</v>
      </c>
      <c r="R11" s="76">
        <f t="shared" ca="1" si="4"/>
        <v>-201</v>
      </c>
      <c r="S11" s="88">
        <f t="shared" ca="1" si="5"/>
        <v>120</v>
      </c>
      <c r="T11" s="106">
        <f t="shared" ca="1" si="6"/>
        <v>120</v>
      </c>
      <c r="U11" s="78" cm="1">
        <f t="array" aca="1" ref="U11" ca="1">IF(T$3="None",0,(INDIRECT("TABLE_WTL[@[" &amp; U$4 &amp; "]]")))</f>
        <v>120</v>
      </c>
      <c r="V11" s="88">
        <f t="shared" ca="1" si="7"/>
        <v>0</v>
      </c>
      <c r="W11" s="106">
        <f t="shared" ca="1" si="8"/>
        <v>0</v>
      </c>
      <c r="X11" s="78" cm="1">
        <f t="array" aca="1" ref="X11" ca="1">IF(W$3="None",0,(INDIRECT("TABLE_WTL[@[" &amp; X$4 &amp; "]]")))</f>
        <v>0</v>
      </c>
      <c r="Y11" s="88">
        <f t="shared" ca="1" si="9"/>
        <v>150</v>
      </c>
      <c r="Z11" s="106">
        <f t="shared" ca="1" si="10"/>
        <v>150</v>
      </c>
      <c r="AA11" s="78" cm="1">
        <f t="array" aca="1" ref="AA11" ca="1">IF(Z$3="None",0,(INDIRECT("TABLE_WTL[@[" &amp; AA$4 &amp; "]]")))</f>
        <v>149</v>
      </c>
      <c r="AB11" s="88">
        <f t="shared" ca="1" si="11"/>
        <v>150</v>
      </c>
      <c r="AC11" s="106">
        <f t="shared" ca="1" si="12"/>
        <v>150</v>
      </c>
      <c r="AD11" s="78" cm="1">
        <f t="array" aca="1" ref="AD11" ca="1">IF(AC$3="None",0,(INDIRECT("TABLE_WTL[@[" &amp; AD$4 &amp; "]]")))</f>
        <v>150</v>
      </c>
      <c r="AE11" s="88">
        <f t="shared" ca="1" si="13"/>
        <v>0</v>
      </c>
      <c r="AF11" s="106">
        <f t="shared" ca="1" si="14"/>
        <v>0</v>
      </c>
      <c r="AG11" s="78" cm="1">
        <f t="array" aca="1" ref="AG11" ca="1">IF(AF$3="None",0,(INDIRECT("TABLE_WTL[@[" &amp; AG$4 &amp; "]]")))</f>
        <v>0</v>
      </c>
      <c r="AH11" s="88">
        <f t="shared" ca="1" si="15"/>
        <v>0</v>
      </c>
      <c r="AI11" s="106">
        <f t="shared" ca="1" si="16"/>
        <v>0</v>
      </c>
      <c r="AJ11" s="78" cm="1">
        <f t="array" aca="1" ref="AJ11" ca="1">IF(AI$3="None",0,(INDIRECT("TABLE_WTL[@[" &amp; AJ$4 &amp; "]]")))</f>
        <v>0</v>
      </c>
      <c r="AK11" s="88">
        <f t="shared" ca="1" si="17"/>
        <v>0</v>
      </c>
      <c r="AL11" s="106">
        <f t="shared" ca="1" si="18"/>
        <v>0</v>
      </c>
      <c r="AM11" s="78" cm="1">
        <f t="array" aca="1" ref="AM11" ca="1">IF(AL$3="None",0,(INDIRECT("TABLE_WTL[@[" &amp; AM$4 &amp; "]]")))</f>
        <v>0</v>
      </c>
      <c r="AN11" s="88">
        <f t="shared" ca="1" si="19"/>
        <v>0</v>
      </c>
      <c r="AO11" s="106">
        <f t="shared" ca="1" si="20"/>
        <v>0</v>
      </c>
      <c r="AP11" s="78" cm="1">
        <f t="array" aca="1" ref="AP11" ca="1">IF(AO$3="None",0,(INDIRECT("TABLE_WTL[@[" &amp; AP$4 &amp; "]]")))</f>
        <v>0</v>
      </c>
      <c r="AQ11" s="89"/>
      <c r="AR11" s="109">
        <v>1</v>
      </c>
      <c r="AS11" s="113" t="s">
        <v>96</v>
      </c>
      <c r="AT11" s="113" t="s">
        <v>96</v>
      </c>
      <c r="AU11" s="113" t="s">
        <v>96</v>
      </c>
      <c r="AV11" s="113"/>
      <c r="AW11" s="113" t="s">
        <v>96</v>
      </c>
      <c r="AX11" s="114"/>
      <c r="AY11" s="89"/>
      <c r="AZ11" s="129" t="s">
        <v>24</v>
      </c>
      <c r="BA11" s="50"/>
      <c r="BB11" s="122"/>
      <c r="BC11" s="123"/>
      <c r="BD11" s="123"/>
      <c r="BE11" s="123"/>
      <c r="BF11" s="123"/>
      <c r="BG11" s="123"/>
      <c r="BH11" s="123"/>
      <c r="BI11" s="124"/>
      <c r="BJ11" s="50"/>
      <c r="BK11" s="80">
        <f>N11/ATP_Conditions!$C$8</f>
        <v>8.8571428571428577</v>
      </c>
    </row>
    <row r="12" spans="1:63" ht="15" thickBot="1" x14ac:dyDescent="0.4">
      <c r="A12" s="30">
        <f t="shared" si="21"/>
        <v>8</v>
      </c>
      <c r="B12" s="81">
        <f t="shared" si="0"/>
        <v>9</v>
      </c>
      <c r="C12" s="82">
        <f t="shared" si="22"/>
        <v>46076</v>
      </c>
      <c r="D12" s="83" t="str">
        <f t="shared" si="1"/>
        <v>9-2026</v>
      </c>
      <c r="E12" s="84" t="str">
        <f>_xlfn.IFNA(VLOOKUP(D12,Race_Calendar!D:F,2,FALSE),"-")</f>
        <v>-</v>
      </c>
      <c r="F12" s="81" t="str">
        <f>_xlfn.IFNA(VLOOKUP($D12,Race_Calendar!$D:$F,3,FALSE),"-")</f>
        <v>-</v>
      </c>
      <c r="G12" s="175" t="str">
        <f>_xlfn.IFNA(VLOOKUP($D12,Race_Calendar!$D:$G,4,FALSE),"-")</f>
        <v>-</v>
      </c>
      <c r="H12" s="85"/>
      <c r="I12" s="104" t="s">
        <v>75</v>
      </c>
      <c r="J12" s="200" t="s">
        <v>99</v>
      </c>
      <c r="K12" s="105" t="str">
        <f t="shared" si="23"/>
        <v>Base 3-4</v>
      </c>
      <c r="L12" s="86"/>
      <c r="M12" s="83"/>
      <c r="N12" s="87">
        <f>VLOOKUP(K12,ATP_Conditions!M:N,2,FALSE)</f>
        <v>360</v>
      </c>
      <c r="O12" s="30">
        <f ca="1">SUM(T12,W12,Z12,AC12,AF12,AI12,AL12,AO12)+ATP_Conditions!$C$7</f>
        <v>355</v>
      </c>
      <c r="P12" s="31">
        <f t="shared" ca="1" si="2"/>
        <v>358</v>
      </c>
      <c r="Q12" s="75">
        <f t="shared" ca="1" si="3"/>
        <v>-5</v>
      </c>
      <c r="R12" s="76">
        <f t="shared" ca="1" si="4"/>
        <v>-2</v>
      </c>
      <c r="S12" s="88">
        <f t="shared" ca="1" si="5"/>
        <v>30</v>
      </c>
      <c r="T12" s="106">
        <f t="shared" ca="1" si="6"/>
        <v>30</v>
      </c>
      <c r="U12" s="78" cm="1">
        <f t="array" aca="1" ref="U12" ca="1">IF(T$3="None",0,(INDIRECT("TABLE_WTL[@[" &amp; U$4 &amp; "]]")))</f>
        <v>31</v>
      </c>
      <c r="V12" s="88">
        <f t="shared" ca="1" si="7"/>
        <v>0</v>
      </c>
      <c r="W12" s="106">
        <f t="shared" ca="1" si="8"/>
        <v>0</v>
      </c>
      <c r="X12" s="78" cm="1">
        <f t="array" aca="1" ref="X12" ca="1">IF(W$3="None",0,(INDIRECT("TABLE_WTL[@[" &amp; X$4 &amp; "]]")))</f>
        <v>0</v>
      </c>
      <c r="Y12" s="88">
        <f t="shared" ca="1" si="9"/>
        <v>175</v>
      </c>
      <c r="Z12" s="106">
        <f t="shared" ca="1" si="10"/>
        <v>175</v>
      </c>
      <c r="AA12" s="78" cm="1">
        <f t="array" aca="1" ref="AA12" ca="1">IF(Z$3="None",0,(INDIRECT("TABLE_WTL[@[" &amp; AA$4 &amp; "]]")))</f>
        <v>177</v>
      </c>
      <c r="AB12" s="88">
        <f t="shared" ca="1" si="11"/>
        <v>150</v>
      </c>
      <c r="AC12" s="106">
        <f t="shared" ca="1" si="12"/>
        <v>150</v>
      </c>
      <c r="AD12" s="78" cm="1">
        <f t="array" aca="1" ref="AD12" ca="1">IF(AC$3="None",0,(INDIRECT("TABLE_WTL[@[" &amp; AD$4 &amp; "]]")))</f>
        <v>150</v>
      </c>
      <c r="AE12" s="88">
        <f t="shared" ca="1" si="13"/>
        <v>0</v>
      </c>
      <c r="AF12" s="106">
        <f t="shared" ca="1" si="14"/>
        <v>0</v>
      </c>
      <c r="AG12" s="78" cm="1">
        <f t="array" aca="1" ref="AG12" ca="1">IF(AF$3="None",0,(INDIRECT("TABLE_WTL[@[" &amp; AG$4 &amp; "]]")))</f>
        <v>0</v>
      </c>
      <c r="AH12" s="88">
        <f t="shared" ca="1" si="15"/>
        <v>0</v>
      </c>
      <c r="AI12" s="106">
        <f t="shared" ca="1" si="16"/>
        <v>0</v>
      </c>
      <c r="AJ12" s="78" cm="1">
        <f t="array" aca="1" ref="AJ12" ca="1">IF(AI$3="None",0,(INDIRECT("TABLE_WTL[@[" &amp; AJ$4 &amp; "]]")))</f>
        <v>0</v>
      </c>
      <c r="AK12" s="88">
        <f t="shared" ca="1" si="17"/>
        <v>0</v>
      </c>
      <c r="AL12" s="106">
        <f t="shared" ca="1" si="18"/>
        <v>0</v>
      </c>
      <c r="AM12" s="78" cm="1">
        <f t="array" aca="1" ref="AM12" ca="1">IF(AL$3="None",0,(INDIRECT("TABLE_WTL[@[" &amp; AM$4 &amp; "]]")))</f>
        <v>0</v>
      </c>
      <c r="AN12" s="88">
        <f t="shared" ca="1" si="19"/>
        <v>0</v>
      </c>
      <c r="AO12" s="106">
        <f t="shared" ca="1" si="20"/>
        <v>0</v>
      </c>
      <c r="AP12" s="78" cm="1">
        <f t="array" aca="1" ref="AP12" ca="1">IF(AO$3="None",0,(INDIRECT("TABLE_WTL[@[" &amp; AP$4 &amp; "]]")))</f>
        <v>0</v>
      </c>
      <c r="AQ12" s="89"/>
      <c r="AR12" s="109"/>
      <c r="AS12" s="113" t="s">
        <v>96</v>
      </c>
      <c r="AT12" s="113"/>
      <c r="AU12" s="113" t="s">
        <v>96</v>
      </c>
      <c r="AV12" s="113"/>
      <c r="AW12" s="113"/>
      <c r="AX12" s="114"/>
      <c r="AY12" s="89"/>
      <c r="AZ12" s="129"/>
      <c r="BA12" s="50"/>
      <c r="BB12" s="122"/>
      <c r="BC12" s="123"/>
      <c r="BD12" s="123"/>
      <c r="BE12" s="123"/>
      <c r="BF12" s="123"/>
      <c r="BG12" s="123"/>
      <c r="BH12" s="123"/>
      <c r="BI12" s="124"/>
      <c r="BJ12" s="50"/>
      <c r="BK12" s="80">
        <f>N12/ATP_Conditions!$C$8</f>
        <v>5.1428571428571432</v>
      </c>
    </row>
    <row r="13" spans="1:63" ht="15" thickBot="1" x14ac:dyDescent="0.4">
      <c r="A13" s="30">
        <f t="shared" si="21"/>
        <v>9</v>
      </c>
      <c r="B13" s="81">
        <f t="shared" si="0"/>
        <v>10</v>
      </c>
      <c r="C13" s="82">
        <f t="shared" si="22"/>
        <v>46083</v>
      </c>
      <c r="D13" s="83" t="str">
        <f t="shared" si="1"/>
        <v>10-2026</v>
      </c>
      <c r="E13" s="84" t="str">
        <f>_xlfn.IFNA(VLOOKUP(D13,Race_Calendar!D:F,2,FALSE),"-")</f>
        <v>-</v>
      </c>
      <c r="F13" s="81" t="str">
        <f>_xlfn.IFNA(VLOOKUP($D13,Race_Calendar!$D:$F,3,FALSE),"-")</f>
        <v>-</v>
      </c>
      <c r="G13" s="175" t="str">
        <f>_xlfn.IFNA(VLOOKUP($D13,Race_Calendar!$D:$G,4,FALSE),"-")</f>
        <v>-</v>
      </c>
      <c r="H13" s="85"/>
      <c r="I13" s="104" t="s">
        <v>73</v>
      </c>
      <c r="J13" s="200" t="s">
        <v>96</v>
      </c>
      <c r="K13" s="105" t="str">
        <f t="shared" si="23"/>
        <v>Build 1-1</v>
      </c>
      <c r="L13" s="86"/>
      <c r="M13" s="83"/>
      <c r="N13" s="87">
        <f>VLOOKUP(K13,ATP_Conditions!M:N,2,FALSE)</f>
        <v>560</v>
      </c>
      <c r="O13" s="30">
        <f ca="1">SUM(T13,W13,Z13,AC13,AF13,AI13,AL13,AO13)+ATP_Conditions!$C$7</f>
        <v>410</v>
      </c>
      <c r="P13" s="31">
        <f t="shared" ca="1" si="2"/>
        <v>413</v>
      </c>
      <c r="Q13" s="75">
        <f t="shared" ca="1" si="3"/>
        <v>-150</v>
      </c>
      <c r="R13" s="76">
        <f t="shared" ca="1" si="4"/>
        <v>-147</v>
      </c>
      <c r="S13" s="88">
        <f t="shared" ca="1" si="5"/>
        <v>35</v>
      </c>
      <c r="T13" s="106">
        <f t="shared" ca="1" si="6"/>
        <v>35</v>
      </c>
      <c r="U13" s="78" cm="1">
        <f t="array" aca="1" ref="U13" ca="1">IF(T$3="None",0,(INDIRECT("TABLE_WTL[@[" &amp; U$4 &amp; "]]")))</f>
        <v>36</v>
      </c>
      <c r="V13" s="88">
        <f t="shared" ca="1" si="7"/>
        <v>0</v>
      </c>
      <c r="W13" s="106">
        <f t="shared" ca="1" si="8"/>
        <v>0</v>
      </c>
      <c r="X13" s="78" cm="1">
        <f t="array" aca="1" ref="X13" ca="1">IF(W$3="None",0,(INDIRECT("TABLE_WTL[@[" &amp; X$4 &amp; "]]")))</f>
        <v>0</v>
      </c>
      <c r="Y13" s="88">
        <f t="shared" ca="1" si="9"/>
        <v>225</v>
      </c>
      <c r="Z13" s="106">
        <f t="shared" ca="1" si="10"/>
        <v>225</v>
      </c>
      <c r="AA13" s="78" cm="1">
        <f t="array" aca="1" ref="AA13" ca="1">IF(Z$3="None",0,(INDIRECT("TABLE_WTL[@[" &amp; AA$4 &amp; "]]")))</f>
        <v>227</v>
      </c>
      <c r="AB13" s="88">
        <f t="shared" ca="1" si="11"/>
        <v>150</v>
      </c>
      <c r="AC13" s="106">
        <f t="shared" ca="1" si="12"/>
        <v>150</v>
      </c>
      <c r="AD13" s="78" cm="1">
        <f t="array" aca="1" ref="AD13" ca="1">IF(AC$3="None",0,(INDIRECT("TABLE_WTL[@[" &amp; AD$4 &amp; "]]")))</f>
        <v>150</v>
      </c>
      <c r="AE13" s="88">
        <f t="shared" ca="1" si="13"/>
        <v>0</v>
      </c>
      <c r="AF13" s="106">
        <f t="shared" ca="1" si="14"/>
        <v>0</v>
      </c>
      <c r="AG13" s="78" cm="1">
        <f t="array" aca="1" ref="AG13" ca="1">IF(AF$3="None",0,(INDIRECT("TABLE_WTL[@[" &amp; AG$4 &amp; "]]")))</f>
        <v>0</v>
      </c>
      <c r="AH13" s="88">
        <f t="shared" ca="1" si="15"/>
        <v>0</v>
      </c>
      <c r="AI13" s="106">
        <f t="shared" ca="1" si="16"/>
        <v>0</v>
      </c>
      <c r="AJ13" s="78" cm="1">
        <f t="array" aca="1" ref="AJ13" ca="1">IF(AI$3="None",0,(INDIRECT("TABLE_WTL[@[" &amp; AJ$4 &amp; "]]")))</f>
        <v>0</v>
      </c>
      <c r="AK13" s="88">
        <f t="shared" ca="1" si="17"/>
        <v>0</v>
      </c>
      <c r="AL13" s="106">
        <f t="shared" ca="1" si="18"/>
        <v>0</v>
      </c>
      <c r="AM13" s="78" cm="1">
        <f t="array" aca="1" ref="AM13" ca="1">IF(AL$3="None",0,(INDIRECT("TABLE_WTL[@[" &amp; AM$4 &amp; "]]")))</f>
        <v>0</v>
      </c>
      <c r="AN13" s="88">
        <f t="shared" ca="1" si="19"/>
        <v>0</v>
      </c>
      <c r="AO13" s="106">
        <f t="shared" ca="1" si="20"/>
        <v>0</v>
      </c>
      <c r="AP13" s="78" cm="1">
        <f t="array" aca="1" ref="AP13" ca="1">IF(AO$3="None",0,(INDIRECT("TABLE_WTL[@[" &amp; AP$4 &amp; "]]")))</f>
        <v>0</v>
      </c>
      <c r="AQ13" s="89"/>
      <c r="AR13" s="109">
        <v>1</v>
      </c>
      <c r="AS13" s="113" t="s">
        <v>96</v>
      </c>
      <c r="AT13" s="113" t="s">
        <v>96</v>
      </c>
      <c r="AU13" s="113" t="s">
        <v>96</v>
      </c>
      <c r="AV13" s="113" t="s">
        <v>96</v>
      </c>
      <c r="AW13" s="113" t="s">
        <v>96</v>
      </c>
      <c r="AX13" s="114"/>
      <c r="AY13" s="89"/>
      <c r="AZ13" s="129"/>
      <c r="BA13" s="50"/>
      <c r="BB13" s="122"/>
      <c r="BC13" s="123"/>
      <c r="BD13" s="123"/>
      <c r="BE13" s="123"/>
      <c r="BF13" s="123"/>
      <c r="BG13" s="123"/>
      <c r="BH13" s="123"/>
      <c r="BI13" s="124"/>
      <c r="BJ13" s="50"/>
      <c r="BK13" s="80">
        <f>N13/ATP_Conditions!$C$8</f>
        <v>8</v>
      </c>
    </row>
    <row r="14" spans="1:63" ht="15" thickBot="1" x14ac:dyDescent="0.4">
      <c r="A14" s="30">
        <f t="shared" si="21"/>
        <v>10</v>
      </c>
      <c r="B14" s="81">
        <f t="shared" si="0"/>
        <v>11</v>
      </c>
      <c r="C14" s="82">
        <f t="shared" si="22"/>
        <v>46090</v>
      </c>
      <c r="D14" s="83" t="str">
        <f t="shared" si="1"/>
        <v>11-2026</v>
      </c>
      <c r="E14" s="84" t="str">
        <f>_xlfn.IFNA(VLOOKUP(D14,Race_Calendar!D:F,2,FALSE),"-")</f>
        <v>-</v>
      </c>
      <c r="F14" s="81" t="str">
        <f>_xlfn.IFNA(VLOOKUP($D14,Race_Calendar!$D:$F,3,FALSE),"-")</f>
        <v>-</v>
      </c>
      <c r="G14" s="175" t="str">
        <f>_xlfn.IFNA(VLOOKUP($D14,Race_Calendar!$D:$G,4,FALSE),"-")</f>
        <v>-</v>
      </c>
      <c r="H14" s="85"/>
      <c r="I14" s="104" t="s">
        <v>73</v>
      </c>
      <c r="J14" s="200" t="s">
        <v>97</v>
      </c>
      <c r="K14" s="105" t="str">
        <f t="shared" si="23"/>
        <v>Build 1-2</v>
      </c>
      <c r="L14" s="86"/>
      <c r="M14" s="83"/>
      <c r="N14" s="87">
        <f>VLOOKUP(K14,ATP_Conditions!M:N,2,FALSE)</f>
        <v>560</v>
      </c>
      <c r="O14" s="30">
        <f ca="1">SUM(T14,W14,Z14,AC14,AF14,AI14,AL14,AO14)+ATP_Conditions!$C$7</f>
        <v>460</v>
      </c>
      <c r="P14" s="31">
        <f t="shared" ca="1" si="2"/>
        <v>463</v>
      </c>
      <c r="Q14" s="75">
        <f t="shared" ca="1" si="3"/>
        <v>-100</v>
      </c>
      <c r="R14" s="76">
        <f t="shared" ca="1" si="4"/>
        <v>-97</v>
      </c>
      <c r="S14" s="88">
        <f t="shared" ca="1" si="5"/>
        <v>95</v>
      </c>
      <c r="T14" s="106">
        <f t="shared" ca="1" si="6"/>
        <v>95</v>
      </c>
      <c r="U14" s="78" cm="1">
        <f t="array" aca="1" ref="U14" ca="1">IF(T$3="None",0,(INDIRECT("TABLE_WTL[@[" &amp; U$4 &amp; "]]")))</f>
        <v>96</v>
      </c>
      <c r="V14" s="88">
        <f t="shared" ca="1" si="7"/>
        <v>0</v>
      </c>
      <c r="W14" s="106">
        <f t="shared" ca="1" si="8"/>
        <v>0</v>
      </c>
      <c r="X14" s="78" cm="1">
        <f t="array" aca="1" ref="X14" ca="1">IF(W$3="None",0,(INDIRECT("TABLE_WTL[@[" &amp; X$4 &amp; "]]")))</f>
        <v>0</v>
      </c>
      <c r="Y14" s="88">
        <f t="shared" ca="1" si="9"/>
        <v>215</v>
      </c>
      <c r="Z14" s="106">
        <f t="shared" ca="1" si="10"/>
        <v>215</v>
      </c>
      <c r="AA14" s="78" cm="1">
        <f t="array" aca="1" ref="AA14" ca="1">IF(Z$3="None",0,(INDIRECT("TABLE_WTL[@[" &amp; AA$4 &amp; "]]")))</f>
        <v>217</v>
      </c>
      <c r="AB14" s="88">
        <f t="shared" ca="1" si="11"/>
        <v>150</v>
      </c>
      <c r="AC14" s="106">
        <f t="shared" ca="1" si="12"/>
        <v>150</v>
      </c>
      <c r="AD14" s="78" cm="1">
        <f t="array" aca="1" ref="AD14" ca="1">IF(AC$3="None",0,(INDIRECT("TABLE_WTL[@[" &amp; AD$4 &amp; "]]")))</f>
        <v>150</v>
      </c>
      <c r="AE14" s="88">
        <f t="shared" ca="1" si="13"/>
        <v>0</v>
      </c>
      <c r="AF14" s="106">
        <f t="shared" ca="1" si="14"/>
        <v>0</v>
      </c>
      <c r="AG14" s="78" cm="1">
        <f t="array" aca="1" ref="AG14" ca="1">IF(AF$3="None",0,(INDIRECT("TABLE_WTL[@[" &amp; AG$4 &amp; "]]")))</f>
        <v>0</v>
      </c>
      <c r="AH14" s="88">
        <f t="shared" ca="1" si="15"/>
        <v>0</v>
      </c>
      <c r="AI14" s="106">
        <f t="shared" ca="1" si="16"/>
        <v>0</v>
      </c>
      <c r="AJ14" s="78" cm="1">
        <f t="array" aca="1" ref="AJ14" ca="1">IF(AI$3="None",0,(INDIRECT("TABLE_WTL[@[" &amp; AJ$4 &amp; "]]")))</f>
        <v>0</v>
      </c>
      <c r="AK14" s="88">
        <f t="shared" ca="1" si="17"/>
        <v>0</v>
      </c>
      <c r="AL14" s="106">
        <f t="shared" ca="1" si="18"/>
        <v>0</v>
      </c>
      <c r="AM14" s="78" cm="1">
        <f t="array" aca="1" ref="AM14" ca="1">IF(AL$3="None",0,(INDIRECT("TABLE_WTL[@[" &amp; AM$4 &amp; "]]")))</f>
        <v>0</v>
      </c>
      <c r="AN14" s="88">
        <f t="shared" ca="1" si="19"/>
        <v>0</v>
      </c>
      <c r="AO14" s="106">
        <f t="shared" ca="1" si="20"/>
        <v>0</v>
      </c>
      <c r="AP14" s="78" cm="1">
        <f t="array" aca="1" ref="AP14" ca="1">IF(AO$3="None",0,(INDIRECT("TABLE_WTL[@[" &amp; AP$4 &amp; "]]")))</f>
        <v>0</v>
      </c>
      <c r="AQ14" s="89"/>
      <c r="AR14" s="109"/>
      <c r="AS14" s="113" t="s">
        <v>96</v>
      </c>
      <c r="AT14" s="113" t="s">
        <v>96</v>
      </c>
      <c r="AU14" s="113" t="s">
        <v>96</v>
      </c>
      <c r="AV14" s="113" t="s">
        <v>96</v>
      </c>
      <c r="AW14" s="113" t="s">
        <v>96</v>
      </c>
      <c r="AX14" s="114"/>
      <c r="AY14" s="89"/>
      <c r="AZ14" s="129" t="s">
        <v>24</v>
      </c>
      <c r="BA14" s="50"/>
      <c r="BB14" s="122"/>
      <c r="BC14" s="123"/>
      <c r="BD14" s="123"/>
      <c r="BE14" s="123"/>
      <c r="BF14" s="123"/>
      <c r="BG14" s="123"/>
      <c r="BH14" s="123"/>
      <c r="BI14" s="124"/>
      <c r="BJ14" s="50"/>
      <c r="BK14" s="80">
        <f>N14/ATP_Conditions!$C$8</f>
        <v>8</v>
      </c>
    </row>
    <row r="15" spans="1:63" ht="15" thickBot="1" x14ac:dyDescent="0.4">
      <c r="A15" s="30">
        <f t="shared" si="21"/>
        <v>11</v>
      </c>
      <c r="B15" s="81">
        <f t="shared" si="0"/>
        <v>12</v>
      </c>
      <c r="C15" s="82">
        <f t="shared" si="22"/>
        <v>46097</v>
      </c>
      <c r="D15" s="83" t="str">
        <f t="shared" si="1"/>
        <v>12-2026</v>
      </c>
      <c r="E15" s="84" t="str">
        <f>_xlfn.IFNA(VLOOKUP(D15,Race_Calendar!D:F,2,FALSE),"-")</f>
        <v>-</v>
      </c>
      <c r="F15" s="81" t="str">
        <f>_xlfn.IFNA(VLOOKUP($D15,Race_Calendar!$D:$F,3,FALSE),"-")</f>
        <v>-</v>
      </c>
      <c r="G15" s="175" t="str">
        <f>_xlfn.IFNA(VLOOKUP($D15,Race_Calendar!$D:$G,4,FALSE),"-")</f>
        <v>-</v>
      </c>
      <c r="H15" s="85"/>
      <c r="I15" s="104" t="s">
        <v>73</v>
      </c>
      <c r="J15" s="200" t="s">
        <v>98</v>
      </c>
      <c r="K15" s="105" t="str">
        <f t="shared" si="23"/>
        <v>Build 1-3</v>
      </c>
      <c r="L15" s="86"/>
      <c r="M15" s="83"/>
      <c r="N15" s="87">
        <f>VLOOKUP(K15,ATP_Conditions!M:N,2,FALSE)</f>
        <v>560</v>
      </c>
      <c r="O15" s="30">
        <f ca="1">SUM(T15,W15,Z15,AC15,AF15,AI15,AL15,AO15)+ATP_Conditions!$C$7</f>
        <v>455</v>
      </c>
      <c r="P15" s="31">
        <f t="shared" ca="1" si="2"/>
        <v>454</v>
      </c>
      <c r="Q15" s="75">
        <f t="shared" ca="1" si="3"/>
        <v>-105</v>
      </c>
      <c r="R15" s="76">
        <f t="shared" ca="1" si="4"/>
        <v>-106</v>
      </c>
      <c r="S15" s="88">
        <f t="shared" ca="1" si="5"/>
        <v>40</v>
      </c>
      <c r="T15" s="106">
        <f t="shared" ca="1" si="6"/>
        <v>40</v>
      </c>
      <c r="U15" s="78" cm="1">
        <f t="array" aca="1" ref="U15" ca="1">IF(T$3="None",0,(INDIRECT("TABLE_WTL[@[" &amp; U$4 &amp; "]]")))</f>
        <v>40</v>
      </c>
      <c r="V15" s="88">
        <f t="shared" ca="1" si="7"/>
        <v>0</v>
      </c>
      <c r="W15" s="106">
        <f t="shared" ca="1" si="8"/>
        <v>0</v>
      </c>
      <c r="X15" s="78" cm="1">
        <f t="array" aca="1" ref="X15" ca="1">IF(W$3="None",0,(INDIRECT("TABLE_WTL[@[" &amp; X$4 &amp; "]]")))</f>
        <v>0</v>
      </c>
      <c r="Y15" s="88">
        <f t="shared" ca="1" si="9"/>
        <v>265</v>
      </c>
      <c r="Z15" s="106">
        <f t="shared" ca="1" si="10"/>
        <v>265</v>
      </c>
      <c r="AA15" s="78" cm="1">
        <f t="array" aca="1" ref="AA15" ca="1">IF(Z$3="None",0,(INDIRECT("TABLE_WTL[@[" &amp; AA$4 &amp; "]]")))</f>
        <v>264</v>
      </c>
      <c r="AB15" s="88">
        <f t="shared" ca="1" si="11"/>
        <v>150</v>
      </c>
      <c r="AC15" s="106">
        <f t="shared" ca="1" si="12"/>
        <v>150</v>
      </c>
      <c r="AD15" s="78" cm="1">
        <f t="array" aca="1" ref="AD15" ca="1">IF(AC$3="None",0,(INDIRECT("TABLE_WTL[@[" &amp; AD$4 &amp; "]]")))</f>
        <v>150</v>
      </c>
      <c r="AE15" s="88">
        <f t="shared" ca="1" si="13"/>
        <v>0</v>
      </c>
      <c r="AF15" s="106">
        <f t="shared" ca="1" si="14"/>
        <v>0</v>
      </c>
      <c r="AG15" s="78" cm="1">
        <f t="array" aca="1" ref="AG15" ca="1">IF(AF$3="None",0,(INDIRECT("TABLE_WTL[@[" &amp; AG$4 &amp; "]]")))</f>
        <v>0</v>
      </c>
      <c r="AH15" s="88">
        <f t="shared" ca="1" si="15"/>
        <v>0</v>
      </c>
      <c r="AI15" s="106">
        <f t="shared" ca="1" si="16"/>
        <v>0</v>
      </c>
      <c r="AJ15" s="78" cm="1">
        <f t="array" aca="1" ref="AJ15" ca="1">IF(AI$3="None",0,(INDIRECT("TABLE_WTL[@[" &amp; AJ$4 &amp; "]]")))</f>
        <v>0</v>
      </c>
      <c r="AK15" s="88">
        <f t="shared" ca="1" si="17"/>
        <v>0</v>
      </c>
      <c r="AL15" s="106">
        <f t="shared" ca="1" si="18"/>
        <v>0</v>
      </c>
      <c r="AM15" s="78" cm="1">
        <f t="array" aca="1" ref="AM15" ca="1">IF(AL$3="None",0,(INDIRECT("TABLE_WTL[@[" &amp; AM$4 &amp; "]]")))</f>
        <v>0</v>
      </c>
      <c r="AN15" s="88">
        <f t="shared" ca="1" si="19"/>
        <v>0</v>
      </c>
      <c r="AO15" s="106">
        <f t="shared" ca="1" si="20"/>
        <v>0</v>
      </c>
      <c r="AP15" s="78" cm="1">
        <f t="array" aca="1" ref="AP15" ca="1">IF(AO$3="None",0,(INDIRECT("TABLE_WTL[@[" &amp; AP$4 &amp; "]]")))</f>
        <v>0</v>
      </c>
      <c r="AQ15" s="89"/>
      <c r="AR15" s="109">
        <v>1</v>
      </c>
      <c r="AS15" s="113" t="s">
        <v>96</v>
      </c>
      <c r="AT15" s="113" t="s">
        <v>96</v>
      </c>
      <c r="AU15" s="113" t="s">
        <v>96</v>
      </c>
      <c r="AV15" s="113" t="s">
        <v>96</v>
      </c>
      <c r="AW15" s="113">
        <v>1</v>
      </c>
      <c r="AX15" s="114"/>
      <c r="AY15" s="89"/>
      <c r="AZ15" s="129" t="s">
        <v>25</v>
      </c>
      <c r="BA15" s="50"/>
      <c r="BB15" s="122"/>
      <c r="BC15" s="123"/>
      <c r="BD15" s="123"/>
      <c r="BE15" s="123"/>
      <c r="BF15" s="123"/>
      <c r="BG15" s="123"/>
      <c r="BH15" s="123"/>
      <c r="BI15" s="124"/>
      <c r="BJ15" s="50"/>
      <c r="BK15" s="80">
        <f>N15/ATP_Conditions!$C$8</f>
        <v>8</v>
      </c>
    </row>
    <row r="16" spans="1:63" ht="15" thickBot="1" x14ac:dyDescent="0.4">
      <c r="A16" s="30">
        <f t="shared" si="21"/>
        <v>12</v>
      </c>
      <c r="B16" s="81">
        <f t="shared" si="0"/>
        <v>13</v>
      </c>
      <c r="C16" s="82">
        <f t="shared" si="22"/>
        <v>46104</v>
      </c>
      <c r="D16" s="83" t="str">
        <f t="shared" si="1"/>
        <v>13-2026</v>
      </c>
      <c r="E16" s="84" t="str">
        <f>_xlfn.IFNA(VLOOKUP(D16,Race_Calendar!D:F,2,FALSE),"-")</f>
        <v>-</v>
      </c>
      <c r="F16" s="81" t="str">
        <f>_xlfn.IFNA(VLOOKUP($D16,Race_Calendar!$D:$F,3,FALSE),"-")</f>
        <v>-</v>
      </c>
      <c r="G16" s="175" t="str">
        <f>_xlfn.IFNA(VLOOKUP($D16,Race_Calendar!$D:$G,4,FALSE),"-")</f>
        <v>-</v>
      </c>
      <c r="H16" s="85"/>
      <c r="I16" s="104" t="s">
        <v>73</v>
      </c>
      <c r="J16" s="200" t="s">
        <v>99</v>
      </c>
      <c r="K16" s="105" t="str">
        <f t="shared" si="23"/>
        <v>Build 1-4</v>
      </c>
      <c r="L16" s="86"/>
      <c r="M16" s="83"/>
      <c r="N16" s="87">
        <f>VLOOKUP(K16,ATP_Conditions!M:N,2,FALSE)</f>
        <v>360</v>
      </c>
      <c r="O16" s="30">
        <f ca="1">SUM(T16,W16,Z16,AC16,AF16,AI16,AL16,AO16)+ATP_Conditions!$C$7</f>
        <v>345</v>
      </c>
      <c r="P16" s="31">
        <f t="shared" ca="1" si="2"/>
        <v>348</v>
      </c>
      <c r="Q16" s="75">
        <f t="shared" ca="1" si="3"/>
        <v>-15</v>
      </c>
      <c r="R16" s="76">
        <f t="shared" ca="1" si="4"/>
        <v>-12</v>
      </c>
      <c r="S16" s="88">
        <f t="shared" ca="1" si="5"/>
        <v>30</v>
      </c>
      <c r="T16" s="106">
        <f t="shared" ca="1" si="6"/>
        <v>30</v>
      </c>
      <c r="U16" s="78" cm="1">
        <f t="array" aca="1" ref="U16" ca="1">IF(T$3="None",0,(INDIRECT("TABLE_WTL[@[" &amp; U$4 &amp; "]]")))</f>
        <v>31</v>
      </c>
      <c r="V16" s="88">
        <f t="shared" ca="1" si="7"/>
        <v>0</v>
      </c>
      <c r="W16" s="106">
        <f t="shared" ca="1" si="8"/>
        <v>0</v>
      </c>
      <c r="X16" s="78" cm="1">
        <f t="array" aca="1" ref="X16" ca="1">IF(W$3="None",0,(INDIRECT("TABLE_WTL[@[" &amp; X$4 &amp; "]]")))</f>
        <v>0</v>
      </c>
      <c r="Y16" s="88">
        <f t="shared" ca="1" si="9"/>
        <v>165</v>
      </c>
      <c r="Z16" s="106">
        <f t="shared" ca="1" si="10"/>
        <v>165</v>
      </c>
      <c r="AA16" s="78" cm="1">
        <f t="array" aca="1" ref="AA16" ca="1">IF(Z$3="None",0,(INDIRECT("TABLE_WTL[@[" &amp; AA$4 &amp; "]]")))</f>
        <v>167</v>
      </c>
      <c r="AB16" s="88">
        <f t="shared" ca="1" si="11"/>
        <v>150</v>
      </c>
      <c r="AC16" s="106">
        <f t="shared" ca="1" si="12"/>
        <v>150</v>
      </c>
      <c r="AD16" s="78" cm="1">
        <f t="array" aca="1" ref="AD16" ca="1">IF(AC$3="None",0,(INDIRECT("TABLE_WTL[@[" &amp; AD$4 &amp; "]]")))</f>
        <v>150</v>
      </c>
      <c r="AE16" s="88">
        <f t="shared" ca="1" si="13"/>
        <v>0</v>
      </c>
      <c r="AF16" s="106">
        <f t="shared" ca="1" si="14"/>
        <v>0</v>
      </c>
      <c r="AG16" s="78" cm="1">
        <f t="array" aca="1" ref="AG16" ca="1">IF(AF$3="None",0,(INDIRECT("TABLE_WTL[@[" &amp; AG$4 &amp; "]]")))</f>
        <v>0</v>
      </c>
      <c r="AH16" s="88">
        <f t="shared" ca="1" si="15"/>
        <v>0</v>
      </c>
      <c r="AI16" s="106">
        <f t="shared" ca="1" si="16"/>
        <v>0</v>
      </c>
      <c r="AJ16" s="78" cm="1">
        <f t="array" aca="1" ref="AJ16" ca="1">IF(AI$3="None",0,(INDIRECT("TABLE_WTL[@[" &amp; AJ$4 &amp; "]]")))</f>
        <v>0</v>
      </c>
      <c r="AK16" s="88">
        <f t="shared" ca="1" si="17"/>
        <v>0</v>
      </c>
      <c r="AL16" s="106">
        <f t="shared" ca="1" si="18"/>
        <v>0</v>
      </c>
      <c r="AM16" s="78" cm="1">
        <f t="array" aca="1" ref="AM16" ca="1">IF(AL$3="None",0,(INDIRECT("TABLE_WTL[@[" &amp; AM$4 &amp; "]]")))</f>
        <v>0</v>
      </c>
      <c r="AN16" s="88">
        <f t="shared" ca="1" si="19"/>
        <v>0</v>
      </c>
      <c r="AO16" s="106">
        <f t="shared" ca="1" si="20"/>
        <v>0</v>
      </c>
      <c r="AP16" s="78" cm="1">
        <f t="array" aca="1" ref="AP16" ca="1">IF(AO$3="None",0,(INDIRECT("TABLE_WTL[@[" &amp; AP$4 &amp; "]]")))</f>
        <v>0</v>
      </c>
      <c r="AQ16" s="89"/>
      <c r="AR16" s="109"/>
      <c r="AS16" s="113" t="s">
        <v>96</v>
      </c>
      <c r="AT16" s="113"/>
      <c r="AU16" s="113" t="s">
        <v>96</v>
      </c>
      <c r="AV16" s="113"/>
      <c r="AW16" s="113"/>
      <c r="AX16" s="114"/>
      <c r="AY16" s="89"/>
      <c r="AZ16" s="129"/>
      <c r="BA16" s="50"/>
      <c r="BB16" s="122"/>
      <c r="BC16" s="123"/>
      <c r="BD16" s="123"/>
      <c r="BE16" s="123"/>
      <c r="BF16" s="123"/>
      <c r="BG16" s="123"/>
      <c r="BH16" s="123"/>
      <c r="BI16" s="124"/>
      <c r="BJ16" s="50"/>
      <c r="BK16" s="80">
        <f>N16/ATP_Conditions!$C$8</f>
        <v>5.1428571428571432</v>
      </c>
    </row>
    <row r="17" spans="1:63" ht="15" thickBot="1" x14ac:dyDescent="0.4">
      <c r="A17" s="30">
        <f t="shared" si="21"/>
        <v>13</v>
      </c>
      <c r="B17" s="81">
        <f t="shared" si="0"/>
        <v>14</v>
      </c>
      <c r="C17" s="82">
        <f t="shared" si="22"/>
        <v>46111</v>
      </c>
      <c r="D17" s="83" t="str">
        <f t="shared" si="1"/>
        <v>14-2026</v>
      </c>
      <c r="E17" s="84" t="str">
        <f>_xlfn.IFNA(VLOOKUP(D17,Race_Calendar!D:F,2,FALSE),"-")</f>
        <v>-</v>
      </c>
      <c r="F17" s="81" t="str">
        <f>_xlfn.IFNA(VLOOKUP($D17,Race_Calendar!$D:$F,3,FALSE),"-")</f>
        <v>-</v>
      </c>
      <c r="G17" s="175" t="str">
        <f>_xlfn.IFNA(VLOOKUP($D17,Race_Calendar!$D:$G,4,FALSE),"-")</f>
        <v>-</v>
      </c>
      <c r="H17" s="85"/>
      <c r="I17" s="104" t="s">
        <v>74</v>
      </c>
      <c r="J17" s="200" t="s">
        <v>96</v>
      </c>
      <c r="K17" s="105" t="str">
        <f t="shared" si="23"/>
        <v>Build 2-1</v>
      </c>
      <c r="L17" s="86"/>
      <c r="M17" s="83"/>
      <c r="N17" s="87">
        <f>VLOOKUP(K17,ATP_Conditions!M:N,2,FALSE)</f>
        <v>620</v>
      </c>
      <c r="O17" s="30">
        <f ca="1">SUM(T17,W17,Z17,AC17,AF17,AI17,AL17,AO17)+ATP_Conditions!$C$7</f>
        <v>355</v>
      </c>
      <c r="P17" s="31">
        <f t="shared" ca="1" si="2"/>
        <v>354</v>
      </c>
      <c r="Q17" s="75">
        <f t="shared" ca="1" si="3"/>
        <v>-265</v>
      </c>
      <c r="R17" s="76">
        <f t="shared" ca="1" si="4"/>
        <v>-266</v>
      </c>
      <c r="S17" s="88">
        <f t="shared" ca="1" si="5"/>
        <v>35</v>
      </c>
      <c r="T17" s="106">
        <f t="shared" ca="1" si="6"/>
        <v>35</v>
      </c>
      <c r="U17" s="78" cm="1">
        <f t="array" aca="1" ref="U17" ca="1">IF(T$3="None",0,(INDIRECT("TABLE_WTL[@[" &amp; U$4 &amp; "]]")))</f>
        <v>36</v>
      </c>
      <c r="V17" s="88">
        <f t="shared" ca="1" si="7"/>
        <v>0</v>
      </c>
      <c r="W17" s="106">
        <f t="shared" ca="1" si="8"/>
        <v>0</v>
      </c>
      <c r="X17" s="78" cm="1">
        <f t="array" aca="1" ref="X17" ca="1">IF(W$3="None",0,(INDIRECT("TABLE_WTL[@[" &amp; X$4 &amp; "]]")))</f>
        <v>0</v>
      </c>
      <c r="Y17" s="88">
        <f t="shared" ca="1" si="9"/>
        <v>170</v>
      </c>
      <c r="Z17" s="106">
        <f t="shared" ca="1" si="10"/>
        <v>170</v>
      </c>
      <c r="AA17" s="78" cm="1">
        <f t="array" aca="1" ref="AA17" ca="1">IF(Z$3="None",0,(INDIRECT("TABLE_WTL[@[" &amp; AA$4 &amp; "]]")))</f>
        <v>168</v>
      </c>
      <c r="AB17" s="88">
        <f t="shared" ca="1" si="11"/>
        <v>150</v>
      </c>
      <c r="AC17" s="106">
        <f t="shared" ca="1" si="12"/>
        <v>150</v>
      </c>
      <c r="AD17" s="78" cm="1">
        <f t="array" aca="1" ref="AD17" ca="1">IF(AC$3="None",0,(INDIRECT("TABLE_WTL[@[" &amp; AD$4 &amp; "]]")))</f>
        <v>150</v>
      </c>
      <c r="AE17" s="88">
        <f t="shared" ca="1" si="13"/>
        <v>0</v>
      </c>
      <c r="AF17" s="106">
        <f t="shared" ca="1" si="14"/>
        <v>0</v>
      </c>
      <c r="AG17" s="78" cm="1">
        <f t="array" aca="1" ref="AG17" ca="1">IF(AF$3="None",0,(INDIRECT("TABLE_WTL[@[" &amp; AG$4 &amp; "]]")))</f>
        <v>0</v>
      </c>
      <c r="AH17" s="88">
        <f t="shared" ca="1" si="15"/>
        <v>0</v>
      </c>
      <c r="AI17" s="106">
        <f t="shared" ca="1" si="16"/>
        <v>0</v>
      </c>
      <c r="AJ17" s="78" cm="1">
        <f t="array" aca="1" ref="AJ17" ca="1">IF(AI$3="None",0,(INDIRECT("TABLE_WTL[@[" &amp; AJ$4 &amp; "]]")))</f>
        <v>0</v>
      </c>
      <c r="AK17" s="88">
        <f t="shared" ca="1" si="17"/>
        <v>0</v>
      </c>
      <c r="AL17" s="106">
        <f t="shared" ca="1" si="18"/>
        <v>0</v>
      </c>
      <c r="AM17" s="78" cm="1">
        <f t="array" aca="1" ref="AM17" ca="1">IF(AL$3="None",0,(INDIRECT("TABLE_WTL[@[" &amp; AM$4 &amp; "]]")))</f>
        <v>0</v>
      </c>
      <c r="AN17" s="88">
        <f t="shared" ca="1" si="19"/>
        <v>0</v>
      </c>
      <c r="AO17" s="106">
        <f t="shared" ca="1" si="20"/>
        <v>0</v>
      </c>
      <c r="AP17" s="78" cm="1">
        <f t="array" aca="1" ref="AP17" ca="1">IF(AO$3="None",0,(INDIRECT("TABLE_WTL[@[" &amp; AP$4 &amp; "]]")))</f>
        <v>0</v>
      </c>
      <c r="AQ17" s="89"/>
      <c r="AR17" s="109">
        <v>1</v>
      </c>
      <c r="AS17" s="113" t="s">
        <v>96</v>
      </c>
      <c r="AT17" s="113" t="s">
        <v>96</v>
      </c>
      <c r="AU17" s="113" t="s">
        <v>96</v>
      </c>
      <c r="AV17" s="113" t="s">
        <v>96</v>
      </c>
      <c r="AW17" s="113" t="s">
        <v>96</v>
      </c>
      <c r="AX17" s="114"/>
      <c r="AY17" s="89"/>
      <c r="AZ17" s="129"/>
      <c r="BA17" s="50"/>
      <c r="BB17" s="122"/>
      <c r="BC17" s="123"/>
      <c r="BD17" s="123"/>
      <c r="BE17" s="123"/>
      <c r="BF17" s="123"/>
      <c r="BG17" s="123"/>
      <c r="BH17" s="123"/>
      <c r="BI17" s="124"/>
      <c r="BJ17" s="50"/>
      <c r="BK17" s="80">
        <f>N17/ATP_Conditions!$C$8</f>
        <v>8.8571428571428577</v>
      </c>
    </row>
    <row r="18" spans="1:63" ht="15" thickBot="1" x14ac:dyDescent="0.4">
      <c r="A18" s="30">
        <f t="shared" si="21"/>
        <v>14</v>
      </c>
      <c r="B18" s="81">
        <f t="shared" si="0"/>
        <v>15</v>
      </c>
      <c r="C18" s="82">
        <f t="shared" si="22"/>
        <v>46118</v>
      </c>
      <c r="D18" s="83" t="str">
        <f t="shared" si="1"/>
        <v>15-2026</v>
      </c>
      <c r="E18" s="84" t="str">
        <f>_xlfn.IFNA(VLOOKUP(D18,Race_Calendar!D:F,2,FALSE),"-")</f>
        <v>-</v>
      </c>
      <c r="F18" s="81" t="str">
        <f>_xlfn.IFNA(VLOOKUP($D18,Race_Calendar!$D:$F,3,FALSE),"-")</f>
        <v>-</v>
      </c>
      <c r="G18" s="175" t="str">
        <f>_xlfn.IFNA(VLOOKUP($D18,Race_Calendar!$D:$G,4,FALSE),"-")</f>
        <v>-</v>
      </c>
      <c r="H18" s="85"/>
      <c r="I18" s="104" t="s">
        <v>74</v>
      </c>
      <c r="J18" s="200" t="s">
        <v>97</v>
      </c>
      <c r="K18" s="105" t="str">
        <f t="shared" si="23"/>
        <v>Build 2-2</v>
      </c>
      <c r="L18" s="86"/>
      <c r="M18" s="83"/>
      <c r="N18" s="87">
        <f>VLOOKUP(K18,ATP_Conditions!M:N,2,FALSE)</f>
        <v>620</v>
      </c>
      <c r="O18" s="30">
        <f ca="1">SUM(T18,W18,Z18,AC18,AF18,AI18,AL18,AO18)+ATP_Conditions!$C$7</f>
        <v>355</v>
      </c>
      <c r="P18" s="31">
        <f t="shared" ca="1" si="2"/>
        <v>354</v>
      </c>
      <c r="Q18" s="75">
        <f t="shared" ca="1" si="3"/>
        <v>-265</v>
      </c>
      <c r="R18" s="76">
        <f t="shared" ca="1" si="4"/>
        <v>-266</v>
      </c>
      <c r="S18" s="88">
        <f t="shared" ca="1" si="5"/>
        <v>35</v>
      </c>
      <c r="T18" s="106">
        <f t="shared" ca="1" si="6"/>
        <v>35</v>
      </c>
      <c r="U18" s="78" cm="1">
        <f t="array" aca="1" ref="U18" ca="1">IF(T$3="None",0,(INDIRECT("TABLE_WTL[@[" &amp; U$4 &amp; "]]")))</f>
        <v>36</v>
      </c>
      <c r="V18" s="88">
        <f t="shared" ca="1" si="7"/>
        <v>0</v>
      </c>
      <c r="W18" s="106">
        <f t="shared" ca="1" si="8"/>
        <v>0</v>
      </c>
      <c r="X18" s="78" cm="1">
        <f t="array" aca="1" ref="X18" ca="1">IF(W$3="None",0,(INDIRECT("TABLE_WTL[@[" &amp; X$4 &amp; "]]")))</f>
        <v>0</v>
      </c>
      <c r="Y18" s="88">
        <f t="shared" ca="1" si="9"/>
        <v>170</v>
      </c>
      <c r="Z18" s="106">
        <f t="shared" ca="1" si="10"/>
        <v>170</v>
      </c>
      <c r="AA18" s="78" cm="1">
        <f t="array" aca="1" ref="AA18" ca="1">IF(Z$3="None",0,(INDIRECT("TABLE_WTL[@[" &amp; AA$4 &amp; "]]")))</f>
        <v>168</v>
      </c>
      <c r="AB18" s="88">
        <f t="shared" ca="1" si="11"/>
        <v>150</v>
      </c>
      <c r="AC18" s="106">
        <f t="shared" ca="1" si="12"/>
        <v>150</v>
      </c>
      <c r="AD18" s="78" cm="1">
        <f t="array" aca="1" ref="AD18" ca="1">IF(AC$3="None",0,(INDIRECT("TABLE_WTL[@[" &amp; AD$4 &amp; "]]")))</f>
        <v>150</v>
      </c>
      <c r="AE18" s="88">
        <f t="shared" ca="1" si="13"/>
        <v>0</v>
      </c>
      <c r="AF18" s="106">
        <f t="shared" ca="1" si="14"/>
        <v>0</v>
      </c>
      <c r="AG18" s="78" cm="1">
        <f t="array" aca="1" ref="AG18" ca="1">IF(AF$3="None",0,(INDIRECT("TABLE_WTL[@[" &amp; AG$4 &amp; "]]")))</f>
        <v>0</v>
      </c>
      <c r="AH18" s="88">
        <f t="shared" ca="1" si="15"/>
        <v>0</v>
      </c>
      <c r="AI18" s="106">
        <f t="shared" ca="1" si="16"/>
        <v>0</v>
      </c>
      <c r="AJ18" s="78" cm="1">
        <f t="array" aca="1" ref="AJ18" ca="1">IF(AI$3="None",0,(INDIRECT("TABLE_WTL[@[" &amp; AJ$4 &amp; "]]")))</f>
        <v>0</v>
      </c>
      <c r="AK18" s="88">
        <f t="shared" ca="1" si="17"/>
        <v>0</v>
      </c>
      <c r="AL18" s="106">
        <f t="shared" ca="1" si="18"/>
        <v>0</v>
      </c>
      <c r="AM18" s="78" cm="1">
        <f t="array" aca="1" ref="AM18" ca="1">IF(AL$3="None",0,(INDIRECT("TABLE_WTL[@[" &amp; AM$4 &amp; "]]")))</f>
        <v>0</v>
      </c>
      <c r="AN18" s="88">
        <f t="shared" ca="1" si="19"/>
        <v>0</v>
      </c>
      <c r="AO18" s="106">
        <f t="shared" ca="1" si="20"/>
        <v>0</v>
      </c>
      <c r="AP18" s="78" cm="1">
        <f t="array" aca="1" ref="AP18" ca="1">IF(AO$3="None",0,(INDIRECT("TABLE_WTL[@[" &amp; AP$4 &amp; "]]")))</f>
        <v>0</v>
      </c>
      <c r="AQ18" s="89"/>
      <c r="AR18" s="109"/>
      <c r="AS18" s="113" t="s">
        <v>96</v>
      </c>
      <c r="AT18" s="113" t="s">
        <v>96</v>
      </c>
      <c r="AU18" s="113" t="s">
        <v>96</v>
      </c>
      <c r="AV18" s="113" t="s">
        <v>96</v>
      </c>
      <c r="AW18" s="113" t="s">
        <v>96</v>
      </c>
      <c r="AX18" s="114"/>
      <c r="AY18" s="89"/>
      <c r="AZ18" s="129" t="s">
        <v>24</v>
      </c>
      <c r="BA18" s="50"/>
      <c r="BB18" s="122"/>
      <c r="BC18" s="123"/>
      <c r="BD18" s="123"/>
      <c r="BE18" s="123"/>
      <c r="BF18" s="123"/>
      <c r="BG18" s="123"/>
      <c r="BH18" s="123"/>
      <c r="BI18" s="124"/>
      <c r="BJ18" s="50"/>
      <c r="BK18" s="80">
        <f>N18/ATP_Conditions!$C$8</f>
        <v>8.8571428571428577</v>
      </c>
    </row>
    <row r="19" spans="1:63" ht="15" thickBot="1" x14ac:dyDescent="0.4">
      <c r="A19" s="30">
        <f t="shared" si="21"/>
        <v>15</v>
      </c>
      <c r="B19" s="90">
        <f t="shared" si="0"/>
        <v>16</v>
      </c>
      <c r="C19" s="82">
        <f t="shared" si="22"/>
        <v>46125</v>
      </c>
      <c r="D19" s="91" t="str">
        <f t="shared" si="1"/>
        <v>16-2026</v>
      </c>
      <c r="E19" s="92" t="str">
        <f>_xlfn.IFNA(VLOOKUP(D19,Race_Calendar!D:F,2,FALSE),"-")</f>
        <v>-</v>
      </c>
      <c r="F19" s="90" t="str">
        <f>_xlfn.IFNA(VLOOKUP($D19,Race_Calendar!$D:$F,3,FALSE),"-")</f>
        <v>-</v>
      </c>
      <c r="G19" s="175" t="str">
        <f>_xlfn.IFNA(VLOOKUP($D19,Race_Calendar!$D:$G,4,FALSE),"-")</f>
        <v>-</v>
      </c>
      <c r="H19" s="93"/>
      <c r="I19" s="104" t="s">
        <v>74</v>
      </c>
      <c r="J19" s="200" t="s">
        <v>98</v>
      </c>
      <c r="K19" s="105" t="str">
        <f t="shared" si="23"/>
        <v>Build 2-3</v>
      </c>
      <c r="L19" s="86"/>
      <c r="M19" s="83"/>
      <c r="N19" s="87">
        <f>VLOOKUP(K19,ATP_Conditions!M:N,2,FALSE)</f>
        <v>620</v>
      </c>
      <c r="O19" s="30">
        <f ca="1">SUM(T19,W19,Z19,AC19,AF19,AI19,AL19,AO19)+ATP_Conditions!$C$7</f>
        <v>360</v>
      </c>
      <c r="P19" s="31">
        <f t="shared" ca="1" si="2"/>
        <v>360</v>
      </c>
      <c r="Q19" s="75">
        <f t="shared" ca="1" si="3"/>
        <v>-260</v>
      </c>
      <c r="R19" s="76">
        <f t="shared" ca="1" si="4"/>
        <v>-260</v>
      </c>
      <c r="S19" s="88">
        <f t="shared" ca="1" si="5"/>
        <v>40</v>
      </c>
      <c r="T19" s="106">
        <f t="shared" ca="1" si="6"/>
        <v>40</v>
      </c>
      <c r="U19" s="78" cm="1">
        <f t="array" aca="1" ref="U19" ca="1">IF(T$3="None",0,(INDIRECT("TABLE_WTL[@[" &amp; U$4 &amp; "]]")))</f>
        <v>42</v>
      </c>
      <c r="V19" s="88">
        <f t="shared" ca="1" si="7"/>
        <v>0</v>
      </c>
      <c r="W19" s="106">
        <f t="shared" ca="1" si="8"/>
        <v>0</v>
      </c>
      <c r="X19" s="78" cm="1">
        <f t="array" aca="1" ref="X19" ca="1">IF(W$3="None",0,(INDIRECT("TABLE_WTL[@[" &amp; X$4 &amp; "]]")))</f>
        <v>0</v>
      </c>
      <c r="Y19" s="88">
        <f t="shared" ca="1" si="9"/>
        <v>170</v>
      </c>
      <c r="Z19" s="106">
        <f t="shared" ca="1" si="10"/>
        <v>170</v>
      </c>
      <c r="AA19" s="78" cm="1">
        <f t="array" aca="1" ref="AA19" ca="1">IF(Z$3="None",0,(INDIRECT("TABLE_WTL[@[" &amp; AA$4 &amp; "]]")))</f>
        <v>168</v>
      </c>
      <c r="AB19" s="88">
        <f t="shared" ca="1" si="11"/>
        <v>150</v>
      </c>
      <c r="AC19" s="106">
        <f t="shared" ca="1" si="12"/>
        <v>150</v>
      </c>
      <c r="AD19" s="78" cm="1">
        <f t="array" aca="1" ref="AD19" ca="1">IF(AC$3="None",0,(INDIRECT("TABLE_WTL[@[" &amp; AD$4 &amp; "]]")))</f>
        <v>150</v>
      </c>
      <c r="AE19" s="88">
        <f t="shared" ca="1" si="13"/>
        <v>0</v>
      </c>
      <c r="AF19" s="106">
        <f t="shared" ca="1" si="14"/>
        <v>0</v>
      </c>
      <c r="AG19" s="78" cm="1">
        <f t="array" aca="1" ref="AG19" ca="1">IF(AF$3="None",0,(INDIRECT("TABLE_WTL[@[" &amp; AG$4 &amp; "]]")))</f>
        <v>0</v>
      </c>
      <c r="AH19" s="88">
        <f t="shared" ca="1" si="15"/>
        <v>0</v>
      </c>
      <c r="AI19" s="106">
        <f t="shared" ca="1" si="16"/>
        <v>0</v>
      </c>
      <c r="AJ19" s="78" cm="1">
        <f t="array" aca="1" ref="AJ19" ca="1">IF(AI$3="None",0,(INDIRECT("TABLE_WTL[@[" &amp; AJ$4 &amp; "]]")))</f>
        <v>0</v>
      </c>
      <c r="AK19" s="88">
        <f t="shared" ca="1" si="17"/>
        <v>0</v>
      </c>
      <c r="AL19" s="106">
        <f t="shared" ca="1" si="18"/>
        <v>0</v>
      </c>
      <c r="AM19" s="78" cm="1">
        <f t="array" aca="1" ref="AM19" ca="1">IF(AL$3="None",0,(INDIRECT("TABLE_WTL[@[" &amp; AM$4 &amp; "]]")))</f>
        <v>0</v>
      </c>
      <c r="AN19" s="88">
        <f t="shared" ca="1" si="19"/>
        <v>0</v>
      </c>
      <c r="AO19" s="106">
        <f t="shared" ca="1" si="20"/>
        <v>0</v>
      </c>
      <c r="AP19" s="78" cm="1">
        <f t="array" aca="1" ref="AP19" ca="1">IF(AO$3="None",0,(INDIRECT("TABLE_WTL[@[" &amp; AP$4 &amp; "]]")))</f>
        <v>0</v>
      </c>
      <c r="AQ19" s="89"/>
      <c r="AR19" s="109">
        <v>1</v>
      </c>
      <c r="AS19" s="113" t="s">
        <v>96</v>
      </c>
      <c r="AT19" s="113" t="s">
        <v>96</v>
      </c>
      <c r="AU19" s="113" t="s">
        <v>96</v>
      </c>
      <c r="AV19" s="113" t="s">
        <v>96</v>
      </c>
      <c r="AW19" s="113" t="s">
        <v>96</v>
      </c>
      <c r="AX19" s="114"/>
      <c r="AY19" s="89"/>
      <c r="AZ19" s="129" t="s">
        <v>25</v>
      </c>
      <c r="BA19" s="50"/>
      <c r="BB19" s="122"/>
      <c r="BC19" s="123"/>
      <c r="BD19" s="123"/>
      <c r="BE19" s="123"/>
      <c r="BF19" s="123"/>
      <c r="BG19" s="123"/>
      <c r="BH19" s="123"/>
      <c r="BI19" s="124"/>
      <c r="BJ19" s="50"/>
      <c r="BK19" s="80">
        <f>N19/ATP_Conditions!$C$8</f>
        <v>8.8571428571428577</v>
      </c>
    </row>
    <row r="20" spans="1:63" ht="15" thickBot="1" x14ac:dyDescent="0.4">
      <c r="A20" s="30">
        <f t="shared" si="21"/>
        <v>16</v>
      </c>
      <c r="B20" s="81">
        <f t="shared" si="0"/>
        <v>17</v>
      </c>
      <c r="C20" s="82">
        <f t="shared" si="22"/>
        <v>46132</v>
      </c>
      <c r="D20" s="83" t="str">
        <f t="shared" si="1"/>
        <v>17-2026</v>
      </c>
      <c r="E20" s="84" t="str">
        <f>_xlfn.IFNA(VLOOKUP(D20,Race_Calendar!D:F,2,FALSE),"-")</f>
        <v>-</v>
      </c>
      <c r="F20" s="81" t="str">
        <f>_xlfn.IFNA(VLOOKUP($D20,Race_Calendar!$D:$F,3,FALSE),"-")</f>
        <v>-</v>
      </c>
      <c r="G20" s="175" t="str">
        <f>_xlfn.IFNA(VLOOKUP($D20,Race_Calendar!$D:$G,4,FALSE),"-")</f>
        <v>-</v>
      </c>
      <c r="H20" s="85"/>
      <c r="I20" s="104" t="s">
        <v>74</v>
      </c>
      <c r="J20" s="200" t="s">
        <v>99</v>
      </c>
      <c r="K20" s="105" t="str">
        <f t="shared" si="23"/>
        <v>Build 2-4</v>
      </c>
      <c r="L20" s="86"/>
      <c r="M20" s="83"/>
      <c r="N20" s="87">
        <f>VLOOKUP(K20,ATP_Conditions!M:N,2,FALSE)</f>
        <v>360</v>
      </c>
      <c r="O20" s="30">
        <f ca="1">SUM(T20,W20,Z20,AC20,AF20,AI20,AL20,AO20)+ATP_Conditions!$C$7</f>
        <v>350</v>
      </c>
      <c r="P20" s="31">
        <f t="shared" ca="1" si="2"/>
        <v>349</v>
      </c>
      <c r="Q20" s="75">
        <f t="shared" ca="1" si="3"/>
        <v>-10</v>
      </c>
      <c r="R20" s="76">
        <f t="shared" ca="1" si="4"/>
        <v>-11</v>
      </c>
      <c r="S20" s="88">
        <f t="shared" ca="1" si="5"/>
        <v>30</v>
      </c>
      <c r="T20" s="106">
        <f t="shared" ca="1" si="6"/>
        <v>30</v>
      </c>
      <c r="U20" s="78" cm="1">
        <f t="array" aca="1" ref="U20" ca="1">IF(T$3="None",0,(INDIRECT("TABLE_WTL[@[" &amp; U$4 &amp; "]]")))</f>
        <v>31</v>
      </c>
      <c r="V20" s="88">
        <f t="shared" ca="1" si="7"/>
        <v>0</v>
      </c>
      <c r="W20" s="106">
        <f t="shared" ca="1" si="8"/>
        <v>0</v>
      </c>
      <c r="X20" s="78" cm="1">
        <f t="array" aca="1" ref="X20" ca="1">IF(W$3="None",0,(INDIRECT("TABLE_WTL[@[" &amp; X$4 &amp; "]]")))</f>
        <v>0</v>
      </c>
      <c r="Y20" s="88">
        <f t="shared" ca="1" si="9"/>
        <v>170</v>
      </c>
      <c r="Z20" s="106">
        <f t="shared" ca="1" si="10"/>
        <v>170</v>
      </c>
      <c r="AA20" s="78" cm="1">
        <f t="array" aca="1" ref="AA20" ca="1">IF(Z$3="None",0,(INDIRECT("TABLE_WTL[@[" &amp; AA$4 &amp; "]]")))</f>
        <v>168</v>
      </c>
      <c r="AB20" s="88">
        <f t="shared" ca="1" si="11"/>
        <v>150</v>
      </c>
      <c r="AC20" s="106">
        <f t="shared" ca="1" si="12"/>
        <v>150</v>
      </c>
      <c r="AD20" s="78" cm="1">
        <f t="array" aca="1" ref="AD20" ca="1">IF(AC$3="None",0,(INDIRECT("TABLE_WTL[@[" &amp; AD$4 &amp; "]]")))</f>
        <v>150</v>
      </c>
      <c r="AE20" s="88">
        <f t="shared" ca="1" si="13"/>
        <v>0</v>
      </c>
      <c r="AF20" s="106">
        <f t="shared" ca="1" si="14"/>
        <v>0</v>
      </c>
      <c r="AG20" s="78" cm="1">
        <f t="array" aca="1" ref="AG20" ca="1">IF(AF$3="None",0,(INDIRECT("TABLE_WTL[@[" &amp; AG$4 &amp; "]]")))</f>
        <v>0</v>
      </c>
      <c r="AH20" s="88">
        <f t="shared" ca="1" si="15"/>
        <v>0</v>
      </c>
      <c r="AI20" s="106">
        <f t="shared" ca="1" si="16"/>
        <v>0</v>
      </c>
      <c r="AJ20" s="78" cm="1">
        <f t="array" aca="1" ref="AJ20" ca="1">IF(AI$3="None",0,(INDIRECT("TABLE_WTL[@[" &amp; AJ$4 &amp; "]]")))</f>
        <v>0</v>
      </c>
      <c r="AK20" s="88">
        <f t="shared" ca="1" si="17"/>
        <v>0</v>
      </c>
      <c r="AL20" s="106">
        <f t="shared" ca="1" si="18"/>
        <v>0</v>
      </c>
      <c r="AM20" s="78" cm="1">
        <f t="array" aca="1" ref="AM20" ca="1">IF(AL$3="None",0,(INDIRECT("TABLE_WTL[@[" &amp; AM$4 &amp; "]]")))</f>
        <v>0</v>
      </c>
      <c r="AN20" s="88">
        <f t="shared" ca="1" si="19"/>
        <v>0</v>
      </c>
      <c r="AO20" s="106">
        <f t="shared" ca="1" si="20"/>
        <v>0</v>
      </c>
      <c r="AP20" s="78" cm="1">
        <f t="array" aca="1" ref="AP20" ca="1">IF(AO$3="None",0,(INDIRECT("TABLE_WTL[@[" &amp; AP$4 &amp; "]]")))</f>
        <v>0</v>
      </c>
      <c r="AQ20" s="89"/>
      <c r="AR20" s="109"/>
      <c r="AS20" s="113" t="s">
        <v>96</v>
      </c>
      <c r="AT20" s="113"/>
      <c r="AU20" s="113" t="s">
        <v>96</v>
      </c>
      <c r="AV20" s="113"/>
      <c r="AW20" s="113"/>
      <c r="AX20" s="114"/>
      <c r="AY20" s="89"/>
      <c r="AZ20" s="130"/>
      <c r="BA20" s="50"/>
      <c r="BB20" s="122"/>
      <c r="BC20" s="123"/>
      <c r="BD20" s="123"/>
      <c r="BE20" s="123"/>
      <c r="BF20" s="123"/>
      <c r="BG20" s="123"/>
      <c r="BH20" s="123"/>
      <c r="BI20" s="124"/>
      <c r="BJ20" s="50"/>
      <c r="BK20" s="80">
        <f>N20/ATP_Conditions!$C$8</f>
        <v>5.1428571428571432</v>
      </c>
    </row>
    <row r="21" spans="1:63" ht="15" thickBot="1" x14ac:dyDescent="0.4">
      <c r="A21" s="30">
        <f t="shared" si="21"/>
        <v>17</v>
      </c>
      <c r="B21" s="81">
        <f t="shared" si="0"/>
        <v>18</v>
      </c>
      <c r="C21" s="82">
        <f t="shared" si="22"/>
        <v>46139</v>
      </c>
      <c r="D21" s="83" t="str">
        <f t="shared" si="1"/>
        <v>18-2026</v>
      </c>
      <c r="E21" s="84" t="str">
        <f>_xlfn.IFNA(VLOOKUP(D21,Race_Calendar!D:F,2,FALSE),"-")</f>
        <v>Koningsloop Moordrecht</v>
      </c>
      <c r="F21" s="81" t="str">
        <f>_xlfn.IFNA(VLOOKUP($D21,Race_Calendar!$D:$F,3,FALSE),"-")</f>
        <v>C</v>
      </c>
      <c r="G21" s="175">
        <f>_xlfn.IFNA(VLOOKUP($D21,Race_Calendar!$D:$G,4,FALSE),"-")</f>
        <v>46139</v>
      </c>
      <c r="H21" s="85"/>
      <c r="I21" s="104" t="s">
        <v>4</v>
      </c>
      <c r="J21" s="200">
        <v>1</v>
      </c>
      <c r="K21" s="105" t="str">
        <f t="shared" si="23"/>
        <v>Peak-1</v>
      </c>
      <c r="L21" s="86"/>
      <c r="M21" s="83"/>
      <c r="N21" s="87">
        <f>VLOOKUP(K21,ATP_Conditions!M:N,2,FALSE)</f>
        <v>440</v>
      </c>
      <c r="O21" s="30">
        <f ca="1">SUM(T21,W21,Z21,AC21,AF21,AI21,AL21,AO21)+ATP_Conditions!$C$7</f>
        <v>290</v>
      </c>
      <c r="P21" s="31">
        <f t="shared" ca="1" si="2"/>
        <v>290</v>
      </c>
      <c r="Q21" s="75">
        <f t="shared" ca="1" si="3"/>
        <v>-150</v>
      </c>
      <c r="R21" s="76">
        <f ca="1">P21-$N21</f>
        <v>-150</v>
      </c>
      <c r="S21" s="88">
        <f t="shared" ca="1" si="5"/>
        <v>0</v>
      </c>
      <c r="T21" s="106">
        <f t="shared" ca="1" si="6"/>
        <v>0</v>
      </c>
      <c r="U21" s="78" cm="1">
        <f t="array" aca="1" ref="U21" ca="1">IF(T$3="None",0,(INDIRECT("TABLE_WTL[@[" &amp; U$4 &amp; "]]")))</f>
        <v>0</v>
      </c>
      <c r="V21" s="88">
        <f t="shared" ca="1" si="7"/>
        <v>0</v>
      </c>
      <c r="W21" s="106">
        <f t="shared" ca="1" si="8"/>
        <v>0</v>
      </c>
      <c r="X21" s="78" cm="1">
        <f t="array" aca="1" ref="X21" ca="1">IF(W$3="None",0,(INDIRECT("TABLE_WTL[@[" &amp; X$4 &amp; "]]")))</f>
        <v>0</v>
      </c>
      <c r="Y21" s="88">
        <f t="shared" ca="1" si="9"/>
        <v>140</v>
      </c>
      <c r="Z21" s="106">
        <f t="shared" ca="1" si="10"/>
        <v>140</v>
      </c>
      <c r="AA21" s="78" cm="1">
        <f t="array" aca="1" ref="AA21" ca="1">IF(Z$3="None",0,(INDIRECT("TABLE_WTL[@[" &amp; AA$4 &amp; "]]")))</f>
        <v>140</v>
      </c>
      <c r="AB21" s="88">
        <f t="shared" ca="1" si="11"/>
        <v>150</v>
      </c>
      <c r="AC21" s="106">
        <f t="shared" ca="1" si="12"/>
        <v>150</v>
      </c>
      <c r="AD21" s="78" cm="1">
        <f t="array" aca="1" ref="AD21" ca="1">IF(AC$3="None",0,(INDIRECT("TABLE_WTL[@[" &amp; AD$4 &amp; "]]")))</f>
        <v>150</v>
      </c>
      <c r="AE21" s="88">
        <f t="shared" ca="1" si="13"/>
        <v>0</v>
      </c>
      <c r="AF21" s="106">
        <f t="shared" ca="1" si="14"/>
        <v>0</v>
      </c>
      <c r="AG21" s="78" cm="1">
        <f t="array" aca="1" ref="AG21" ca="1">IF(AF$3="None",0,(INDIRECT("TABLE_WTL[@[" &amp; AG$4 &amp; "]]")))</f>
        <v>0</v>
      </c>
      <c r="AH21" s="88">
        <f t="shared" ca="1" si="15"/>
        <v>0</v>
      </c>
      <c r="AI21" s="106">
        <f t="shared" ca="1" si="16"/>
        <v>0</v>
      </c>
      <c r="AJ21" s="78" cm="1">
        <f t="array" aca="1" ref="AJ21" ca="1">IF(AI$3="None",0,(INDIRECT("TABLE_WTL[@[" &amp; AJ$4 &amp; "]]")))</f>
        <v>0</v>
      </c>
      <c r="AK21" s="88">
        <f t="shared" ca="1" si="17"/>
        <v>0</v>
      </c>
      <c r="AL21" s="106">
        <f t="shared" ca="1" si="18"/>
        <v>0</v>
      </c>
      <c r="AM21" s="78" cm="1">
        <f t="array" aca="1" ref="AM21" ca="1">IF(AL$3="None",0,(INDIRECT("TABLE_WTL[@[" &amp; AM$4 &amp; "]]")))</f>
        <v>0</v>
      </c>
      <c r="AN21" s="88">
        <f t="shared" ca="1" si="19"/>
        <v>0</v>
      </c>
      <c r="AO21" s="106">
        <f t="shared" ca="1" si="20"/>
        <v>0</v>
      </c>
      <c r="AP21" s="78" cm="1">
        <f t="array" aca="1" ref="AP21" ca="1">IF(AO$3="None",0,(INDIRECT("TABLE_WTL[@[" &amp; AP$4 &amp; "]]")))</f>
        <v>0</v>
      </c>
      <c r="AQ21" s="89"/>
      <c r="AR21" s="109">
        <v>1</v>
      </c>
      <c r="AS21" s="113" t="s">
        <v>96</v>
      </c>
      <c r="AT21" s="113"/>
      <c r="AU21" s="113"/>
      <c r="AV21" s="113"/>
      <c r="AW21" s="113"/>
      <c r="AX21" s="114"/>
      <c r="AY21" s="89"/>
      <c r="AZ21" s="130"/>
      <c r="BA21" s="50"/>
      <c r="BB21" s="122"/>
      <c r="BC21" s="123"/>
      <c r="BD21" s="123"/>
      <c r="BE21" s="123"/>
      <c r="BF21" s="123"/>
      <c r="BG21" s="123"/>
      <c r="BH21" s="123"/>
      <c r="BI21" s="124"/>
      <c r="BJ21" s="50"/>
      <c r="BK21" s="80">
        <f>N21/ATP_Conditions!$C$8</f>
        <v>6.2857142857142856</v>
      </c>
    </row>
    <row r="22" spans="1:63" ht="15" thickBot="1" x14ac:dyDescent="0.4">
      <c r="A22" s="30">
        <f t="shared" si="21"/>
        <v>18</v>
      </c>
      <c r="B22" s="81">
        <f t="shared" si="0"/>
        <v>19</v>
      </c>
      <c r="C22" s="82">
        <f t="shared" si="22"/>
        <v>46146</v>
      </c>
      <c r="D22" s="83" t="str">
        <f t="shared" si="1"/>
        <v>19-2026</v>
      </c>
      <c r="E22" s="84" t="str">
        <f>_xlfn.IFNA(VLOOKUP(D22,Race_Calendar!D:F,2,FALSE),"-")</f>
        <v>Go Triatlon Brouwersdam</v>
      </c>
      <c r="F22" s="81" t="str">
        <f>_xlfn.IFNA(VLOOKUP($D22,Race_Calendar!$D:$F,3,FALSE),"-")</f>
        <v>A</v>
      </c>
      <c r="G22" s="175">
        <f>_xlfn.IFNA(VLOOKUP($D22,Race_Calendar!$D:$G,4,FALSE),"-")</f>
        <v>46151</v>
      </c>
      <c r="H22" s="85"/>
      <c r="I22" s="104" t="s">
        <v>1</v>
      </c>
      <c r="J22" s="200"/>
      <c r="K22" s="105" t="str">
        <f t="shared" si="23"/>
        <v>Race</v>
      </c>
      <c r="L22" s="86"/>
      <c r="M22" s="83"/>
      <c r="N22" s="87">
        <f>VLOOKUP(K22,ATP_Conditions!M:N,2,FALSE)</f>
        <v>360</v>
      </c>
      <c r="O22" s="30">
        <f ca="1">SUM(T22,W22,Z22,AC22,AF22,AI22,AL22,AO22)+ATP_Conditions!$C$7</f>
        <v>290</v>
      </c>
      <c r="P22" s="31">
        <f t="shared" ca="1" si="2"/>
        <v>290</v>
      </c>
      <c r="Q22" s="75">
        <f t="shared" ca="1" si="3"/>
        <v>-70</v>
      </c>
      <c r="R22" s="76">
        <f t="shared" ca="1" si="4"/>
        <v>-70</v>
      </c>
      <c r="S22" s="88">
        <f t="shared" ca="1" si="5"/>
        <v>0</v>
      </c>
      <c r="T22" s="106">
        <f t="shared" ca="1" si="6"/>
        <v>0</v>
      </c>
      <c r="U22" s="78" cm="1">
        <f t="array" aca="1" ref="U22" ca="1">IF(T$3="None",0,(INDIRECT("TABLE_WTL[@[" &amp; U$4 &amp; "]]")))</f>
        <v>0</v>
      </c>
      <c r="V22" s="88">
        <f t="shared" ca="1" si="7"/>
        <v>0</v>
      </c>
      <c r="W22" s="106">
        <f t="shared" ca="1" si="8"/>
        <v>0</v>
      </c>
      <c r="X22" s="78" cm="1">
        <f t="array" aca="1" ref="X22" ca="1">IF(W$3="None",0,(INDIRECT("TABLE_WTL[@[" &amp; X$4 &amp; "]]")))</f>
        <v>0</v>
      </c>
      <c r="Y22" s="88">
        <f t="shared" ca="1" si="9"/>
        <v>140</v>
      </c>
      <c r="Z22" s="106">
        <f t="shared" ca="1" si="10"/>
        <v>140</v>
      </c>
      <c r="AA22" s="78" cm="1">
        <f t="array" aca="1" ref="AA22" ca="1">IF(Z$3="None",0,(INDIRECT("TABLE_WTL[@[" &amp; AA$4 &amp; "]]")))</f>
        <v>140</v>
      </c>
      <c r="AB22" s="88">
        <f t="shared" ca="1" si="11"/>
        <v>150</v>
      </c>
      <c r="AC22" s="106">
        <f t="shared" ca="1" si="12"/>
        <v>150</v>
      </c>
      <c r="AD22" s="78" cm="1">
        <f t="array" aca="1" ref="AD22" ca="1">IF(AC$3="None",0,(INDIRECT("TABLE_WTL[@[" &amp; AD$4 &amp; "]]")))</f>
        <v>150</v>
      </c>
      <c r="AE22" s="88">
        <f t="shared" ca="1" si="13"/>
        <v>0</v>
      </c>
      <c r="AF22" s="106">
        <f t="shared" ca="1" si="14"/>
        <v>0</v>
      </c>
      <c r="AG22" s="78" cm="1">
        <f t="array" aca="1" ref="AG22" ca="1">IF(AF$3="None",0,(INDIRECT("TABLE_WTL[@[" &amp; AG$4 &amp; "]]")))</f>
        <v>0</v>
      </c>
      <c r="AH22" s="88">
        <f t="shared" ca="1" si="15"/>
        <v>0</v>
      </c>
      <c r="AI22" s="106">
        <f t="shared" ca="1" si="16"/>
        <v>0</v>
      </c>
      <c r="AJ22" s="78" cm="1">
        <f t="array" aca="1" ref="AJ22" ca="1">IF(AI$3="None",0,(INDIRECT("TABLE_WTL[@[" &amp; AJ$4 &amp; "]]")))</f>
        <v>0</v>
      </c>
      <c r="AK22" s="88">
        <f t="shared" ca="1" si="17"/>
        <v>0</v>
      </c>
      <c r="AL22" s="106">
        <f t="shared" ca="1" si="18"/>
        <v>0</v>
      </c>
      <c r="AM22" s="78" cm="1">
        <f t="array" aca="1" ref="AM22" ca="1">IF(AL$3="None",0,(INDIRECT("TABLE_WTL[@[" &amp; AM$4 &amp; "]]")))</f>
        <v>0</v>
      </c>
      <c r="AN22" s="88">
        <f t="shared" ca="1" si="19"/>
        <v>0</v>
      </c>
      <c r="AO22" s="106">
        <f t="shared" ca="1" si="20"/>
        <v>0</v>
      </c>
      <c r="AP22" s="78" cm="1">
        <f t="array" aca="1" ref="AP22" ca="1">IF(AO$3="None",0,(INDIRECT("TABLE_WTL[@[" &amp; AP$4 &amp; "]]")))</f>
        <v>0</v>
      </c>
      <c r="AQ22" s="89"/>
      <c r="AR22" s="109"/>
      <c r="AS22" s="113"/>
      <c r="AT22" s="113"/>
      <c r="AU22" s="113"/>
      <c r="AV22" s="113"/>
      <c r="AW22" s="113"/>
      <c r="AX22" s="114"/>
      <c r="AY22" s="89"/>
      <c r="AZ22" s="129"/>
      <c r="BA22" s="50"/>
      <c r="BB22" s="122"/>
      <c r="BC22" s="123"/>
      <c r="BD22" s="123"/>
      <c r="BE22" s="123"/>
      <c r="BF22" s="123"/>
      <c r="BG22" s="123"/>
      <c r="BH22" s="123"/>
      <c r="BI22" s="124"/>
      <c r="BJ22" s="50"/>
      <c r="BK22" s="80">
        <f>N22/ATP_Conditions!$C$8</f>
        <v>5.1428571428571432</v>
      </c>
    </row>
    <row r="23" spans="1:63" ht="15" thickBot="1" x14ac:dyDescent="0.4">
      <c r="A23" s="30">
        <f t="shared" si="21"/>
        <v>19</v>
      </c>
      <c r="B23" s="81">
        <f t="shared" si="0"/>
        <v>20</v>
      </c>
      <c r="C23" s="82">
        <f t="shared" si="22"/>
        <v>46153</v>
      </c>
      <c r="D23" s="83" t="str">
        <f t="shared" si="1"/>
        <v>20-2026</v>
      </c>
      <c r="E23" s="84" t="str">
        <f>_xlfn.IFNA(VLOOKUP(D23,Race_Calendar!D:F,2,FALSE),"-")</f>
        <v>-</v>
      </c>
      <c r="F23" s="81" t="str">
        <f>_xlfn.IFNA(VLOOKUP($D23,Race_Calendar!$D:$F,3,FALSE),"-")</f>
        <v>-</v>
      </c>
      <c r="G23" s="175" t="str">
        <f>_xlfn.IFNA(VLOOKUP($D23,Race_Calendar!$D:$G,4,FALSE),"-")</f>
        <v>-</v>
      </c>
      <c r="H23" s="85"/>
      <c r="I23" s="104" t="s">
        <v>77</v>
      </c>
      <c r="J23" s="200"/>
      <c r="K23" s="105" t="str">
        <f t="shared" si="23"/>
        <v>Trans</v>
      </c>
      <c r="L23" s="86"/>
      <c r="M23" s="83"/>
      <c r="N23" s="87">
        <f>VLOOKUP(K23,ATP_Conditions!M:N,2,FALSE)</f>
        <v>230</v>
      </c>
      <c r="O23" s="30">
        <f ca="1">SUM(T23,W23,Z23,AC23,AF23,AI23,AL23,AO23)+ATP_Conditions!$C$7</f>
        <v>355</v>
      </c>
      <c r="P23" s="31">
        <f t="shared" ca="1" si="2"/>
        <v>354</v>
      </c>
      <c r="Q23" s="75">
        <f t="shared" ca="1" si="3"/>
        <v>125</v>
      </c>
      <c r="R23" s="76">
        <f t="shared" ca="1" si="4"/>
        <v>124</v>
      </c>
      <c r="S23" s="88">
        <f t="shared" ca="1" si="5"/>
        <v>35</v>
      </c>
      <c r="T23" s="106">
        <f t="shared" ca="1" si="6"/>
        <v>35</v>
      </c>
      <c r="U23" s="78" cm="1">
        <f t="array" aca="1" ref="U23" ca="1">IF(T$3="None",0,(INDIRECT("TABLE_WTL[@[" &amp; U$4 &amp; "]]")))</f>
        <v>36</v>
      </c>
      <c r="V23" s="88">
        <f t="shared" ca="1" si="7"/>
        <v>0</v>
      </c>
      <c r="W23" s="106">
        <f t="shared" ca="1" si="8"/>
        <v>0</v>
      </c>
      <c r="X23" s="78" cm="1">
        <f t="array" aca="1" ref="X23" ca="1">IF(W$3="None",0,(INDIRECT("TABLE_WTL[@[" &amp; X$4 &amp; "]]")))</f>
        <v>0</v>
      </c>
      <c r="Y23" s="88">
        <f t="shared" ca="1" si="9"/>
        <v>170</v>
      </c>
      <c r="Z23" s="106">
        <f t="shared" ca="1" si="10"/>
        <v>170</v>
      </c>
      <c r="AA23" s="78" cm="1">
        <f t="array" aca="1" ref="AA23" ca="1">IF(Z$3="None",0,(INDIRECT("TABLE_WTL[@[" &amp; AA$4 &amp; "]]")))</f>
        <v>168</v>
      </c>
      <c r="AB23" s="88">
        <f t="shared" ca="1" si="11"/>
        <v>150</v>
      </c>
      <c r="AC23" s="106">
        <f t="shared" ca="1" si="12"/>
        <v>150</v>
      </c>
      <c r="AD23" s="78" cm="1">
        <f t="array" aca="1" ref="AD23" ca="1">IF(AC$3="None",0,(INDIRECT("TABLE_WTL[@[" &amp; AD$4 &amp; "]]")))</f>
        <v>150</v>
      </c>
      <c r="AE23" s="88">
        <f t="shared" ca="1" si="13"/>
        <v>0</v>
      </c>
      <c r="AF23" s="106">
        <f t="shared" ca="1" si="14"/>
        <v>0</v>
      </c>
      <c r="AG23" s="78" cm="1">
        <f t="array" aca="1" ref="AG23" ca="1">IF(AF$3="None",0,(INDIRECT("TABLE_WTL[@[" &amp; AG$4 &amp; "]]")))</f>
        <v>0</v>
      </c>
      <c r="AH23" s="88">
        <f t="shared" ca="1" si="15"/>
        <v>0</v>
      </c>
      <c r="AI23" s="106">
        <f t="shared" ca="1" si="16"/>
        <v>0</v>
      </c>
      <c r="AJ23" s="78" cm="1">
        <f t="array" aca="1" ref="AJ23" ca="1">IF(AI$3="None",0,(INDIRECT("TABLE_WTL[@[" &amp; AJ$4 &amp; "]]")))</f>
        <v>0</v>
      </c>
      <c r="AK23" s="88">
        <f t="shared" ca="1" si="17"/>
        <v>0</v>
      </c>
      <c r="AL23" s="106">
        <f t="shared" ca="1" si="18"/>
        <v>0</v>
      </c>
      <c r="AM23" s="78" cm="1">
        <f t="array" aca="1" ref="AM23" ca="1">IF(AL$3="None",0,(INDIRECT("TABLE_WTL[@[" &amp; AM$4 &amp; "]]")))</f>
        <v>0</v>
      </c>
      <c r="AN23" s="88">
        <f t="shared" ca="1" si="19"/>
        <v>0</v>
      </c>
      <c r="AO23" s="106">
        <f t="shared" ca="1" si="20"/>
        <v>0</v>
      </c>
      <c r="AP23" s="78" cm="1">
        <f t="array" aca="1" ref="AP23" ca="1">IF(AO$3="None",0,(INDIRECT("TABLE_WTL[@[" &amp; AP$4 &amp; "]]")))</f>
        <v>0</v>
      </c>
      <c r="AQ23" s="89"/>
      <c r="AR23" s="109"/>
      <c r="AS23" s="113"/>
      <c r="AT23" s="113"/>
      <c r="AU23" s="115"/>
      <c r="AV23" s="113"/>
      <c r="AW23" s="113"/>
      <c r="AX23" s="114"/>
      <c r="AY23" s="89"/>
      <c r="AZ23" s="129"/>
      <c r="BA23" s="50"/>
      <c r="BB23" s="122"/>
      <c r="BC23" s="123"/>
      <c r="BD23" s="123"/>
      <c r="BE23" s="123"/>
      <c r="BF23" s="123"/>
      <c r="BG23" s="123"/>
      <c r="BH23" s="123"/>
      <c r="BI23" s="124"/>
      <c r="BJ23" s="50"/>
      <c r="BK23" s="80">
        <f>N23/ATP_Conditions!$C$8</f>
        <v>3.2857142857142856</v>
      </c>
    </row>
    <row r="24" spans="1:63" ht="15" thickBot="1" x14ac:dyDescent="0.4">
      <c r="A24" s="30">
        <f t="shared" si="21"/>
        <v>20</v>
      </c>
      <c r="B24" s="81">
        <f t="shared" si="0"/>
        <v>21</v>
      </c>
      <c r="C24" s="82">
        <f t="shared" si="22"/>
        <v>46160</v>
      </c>
      <c r="D24" s="83" t="str">
        <f t="shared" si="1"/>
        <v>21-2026</v>
      </c>
      <c r="E24" s="84" t="str">
        <f>_xlfn.IFNA(VLOOKUP(D24,Race_Calendar!D:F,2,FALSE),"-")</f>
        <v>-</v>
      </c>
      <c r="F24" s="81" t="str">
        <f>_xlfn.IFNA(VLOOKUP($D24,Race_Calendar!$D:$F,3,FALSE),"-")</f>
        <v>-</v>
      </c>
      <c r="G24" s="175" t="str">
        <f>_xlfn.IFNA(VLOOKUP($D24,Race_Calendar!$D:$G,4,FALSE),"-")</f>
        <v>-</v>
      </c>
      <c r="H24" s="85"/>
      <c r="I24" s="104" t="s">
        <v>77</v>
      </c>
      <c r="J24" s="200"/>
      <c r="K24" s="105" t="str">
        <f t="shared" si="23"/>
        <v>Trans</v>
      </c>
      <c r="L24" s="86"/>
      <c r="M24" s="83"/>
      <c r="N24" s="87">
        <f>VLOOKUP(K24,ATP_Conditions!M:N,2,FALSE)</f>
        <v>230</v>
      </c>
      <c r="O24" s="30">
        <f ca="1">SUM(T24,W24,Z24,AC24,AF24,AI24,AL24,AO24)+ATP_Conditions!$C$7</f>
        <v>355</v>
      </c>
      <c r="P24" s="31">
        <f t="shared" ca="1" si="2"/>
        <v>354</v>
      </c>
      <c r="Q24" s="75">
        <f t="shared" ca="1" si="3"/>
        <v>125</v>
      </c>
      <c r="R24" s="76">
        <f t="shared" ca="1" si="4"/>
        <v>124</v>
      </c>
      <c r="S24" s="88">
        <f t="shared" ca="1" si="5"/>
        <v>35</v>
      </c>
      <c r="T24" s="106">
        <f t="shared" ca="1" si="6"/>
        <v>35</v>
      </c>
      <c r="U24" s="78" cm="1">
        <f t="array" aca="1" ref="U24" ca="1">IF(T$3="None",0,(INDIRECT("TABLE_WTL[@[" &amp; U$4 &amp; "]]")))</f>
        <v>36</v>
      </c>
      <c r="V24" s="88">
        <f t="shared" ca="1" si="7"/>
        <v>0</v>
      </c>
      <c r="W24" s="106">
        <f t="shared" ca="1" si="8"/>
        <v>0</v>
      </c>
      <c r="X24" s="78" cm="1">
        <f t="array" aca="1" ref="X24" ca="1">IF(W$3="None",0,(INDIRECT("TABLE_WTL[@[" &amp; X$4 &amp; "]]")))</f>
        <v>0</v>
      </c>
      <c r="Y24" s="88">
        <f t="shared" ca="1" si="9"/>
        <v>170</v>
      </c>
      <c r="Z24" s="106">
        <f t="shared" ca="1" si="10"/>
        <v>170</v>
      </c>
      <c r="AA24" s="78" cm="1">
        <f t="array" aca="1" ref="AA24" ca="1">IF(Z$3="None",0,(INDIRECT("TABLE_WTL[@[" &amp; AA$4 &amp; "]]")))</f>
        <v>168</v>
      </c>
      <c r="AB24" s="88">
        <f t="shared" ca="1" si="11"/>
        <v>150</v>
      </c>
      <c r="AC24" s="106">
        <f t="shared" ca="1" si="12"/>
        <v>150</v>
      </c>
      <c r="AD24" s="78" cm="1">
        <f t="array" aca="1" ref="AD24" ca="1">IF(AC$3="None",0,(INDIRECT("TABLE_WTL[@[" &amp; AD$4 &amp; "]]")))</f>
        <v>150</v>
      </c>
      <c r="AE24" s="88">
        <f t="shared" ca="1" si="13"/>
        <v>0</v>
      </c>
      <c r="AF24" s="106">
        <f t="shared" ca="1" si="14"/>
        <v>0</v>
      </c>
      <c r="AG24" s="78" cm="1">
        <f t="array" aca="1" ref="AG24" ca="1">IF(AF$3="None",0,(INDIRECT("TABLE_WTL[@[" &amp; AG$4 &amp; "]]")))</f>
        <v>0</v>
      </c>
      <c r="AH24" s="88">
        <f t="shared" ca="1" si="15"/>
        <v>0</v>
      </c>
      <c r="AI24" s="106">
        <f t="shared" ca="1" si="16"/>
        <v>0</v>
      </c>
      <c r="AJ24" s="78" cm="1">
        <f t="array" aca="1" ref="AJ24" ca="1">IF(AI$3="None",0,(INDIRECT("TABLE_WTL[@[" &amp; AJ$4 &amp; "]]")))</f>
        <v>0</v>
      </c>
      <c r="AK24" s="88">
        <f t="shared" ca="1" si="17"/>
        <v>0</v>
      </c>
      <c r="AL24" s="106">
        <f t="shared" ca="1" si="18"/>
        <v>0</v>
      </c>
      <c r="AM24" s="78" cm="1">
        <f t="array" aca="1" ref="AM24" ca="1">IF(AL$3="None",0,(INDIRECT("TABLE_WTL[@[" &amp; AM$4 &amp; "]]")))</f>
        <v>0</v>
      </c>
      <c r="AN24" s="88">
        <f t="shared" ca="1" si="19"/>
        <v>0</v>
      </c>
      <c r="AO24" s="106">
        <f t="shared" ca="1" si="20"/>
        <v>0</v>
      </c>
      <c r="AP24" s="78" cm="1">
        <f t="array" aca="1" ref="AP24" ca="1">IF(AO$3="None",0,(INDIRECT("TABLE_WTL[@[" &amp; AP$4 &amp; "]]")))</f>
        <v>0</v>
      </c>
      <c r="AQ24" s="89"/>
      <c r="AR24" s="109"/>
      <c r="AS24" s="113"/>
      <c r="AT24" s="113"/>
      <c r="AU24" s="113"/>
      <c r="AV24" s="113"/>
      <c r="AW24" s="113"/>
      <c r="AX24" s="114"/>
      <c r="AY24" s="89"/>
      <c r="AZ24" s="129"/>
      <c r="BA24" s="50"/>
      <c r="BB24" s="122"/>
      <c r="BC24" s="123"/>
      <c r="BD24" s="123"/>
      <c r="BE24" s="123"/>
      <c r="BF24" s="123"/>
      <c r="BG24" s="123"/>
      <c r="BH24" s="123"/>
      <c r="BI24" s="124"/>
      <c r="BJ24" s="50"/>
      <c r="BK24" s="80">
        <f>N24/ATP_Conditions!$C$8</f>
        <v>3.2857142857142856</v>
      </c>
    </row>
    <row r="25" spans="1:63" ht="15" thickBot="1" x14ac:dyDescent="0.4">
      <c r="A25" s="30">
        <f t="shared" si="21"/>
        <v>21</v>
      </c>
      <c r="B25" s="81">
        <f t="shared" si="0"/>
        <v>22</v>
      </c>
      <c r="C25" s="82">
        <f t="shared" si="22"/>
        <v>46167</v>
      </c>
      <c r="D25" s="83" t="str">
        <f t="shared" si="1"/>
        <v>22-2026</v>
      </c>
      <c r="E25" s="84" t="str">
        <f>_xlfn.IFNA(VLOOKUP(D25,Race_Calendar!D:F,2,FALSE),"-")</f>
        <v>-</v>
      </c>
      <c r="F25" s="81" t="str">
        <f>_xlfn.IFNA(VLOOKUP($D25,Race_Calendar!$D:$F,3,FALSE),"-")</f>
        <v>-</v>
      </c>
      <c r="G25" s="175" t="str">
        <f>_xlfn.IFNA(VLOOKUP($D25,Race_Calendar!$D:$G,4,FALSE),"-")</f>
        <v>-</v>
      </c>
      <c r="H25" s="85"/>
      <c r="I25" s="104" t="s">
        <v>73</v>
      </c>
      <c r="J25" s="200">
        <v>2</v>
      </c>
      <c r="K25" s="105" t="str">
        <f t="shared" si="23"/>
        <v>Build 1-2</v>
      </c>
      <c r="L25" s="86"/>
      <c r="M25" s="83"/>
      <c r="N25" s="87">
        <f>VLOOKUP(K25,ATP_Conditions!M:N,2,FALSE)</f>
        <v>560</v>
      </c>
      <c r="O25" s="30">
        <f ca="1">SUM(T25,W25,Z25,AC25,AF25,AI25,AL25,AO25)+ATP_Conditions!$C$7</f>
        <v>415</v>
      </c>
      <c r="P25" s="31">
        <f t="shared" ca="1" si="2"/>
        <v>411</v>
      </c>
      <c r="Q25" s="75">
        <f t="shared" ca="1" si="3"/>
        <v>-145</v>
      </c>
      <c r="R25" s="76">
        <f t="shared" ca="1" si="4"/>
        <v>-149</v>
      </c>
      <c r="S25" s="88">
        <f t="shared" ca="1" si="5"/>
        <v>95</v>
      </c>
      <c r="T25" s="106">
        <f t="shared" ca="1" si="6"/>
        <v>95</v>
      </c>
      <c r="U25" s="78" cm="1">
        <f t="array" aca="1" ref="U25" ca="1">IF(T$3="None",0,(INDIRECT("TABLE_WTL[@[" &amp; U$4 &amp; "]]")))</f>
        <v>93</v>
      </c>
      <c r="V25" s="88">
        <f t="shared" ca="1" si="7"/>
        <v>0</v>
      </c>
      <c r="W25" s="106">
        <f t="shared" ca="1" si="8"/>
        <v>0</v>
      </c>
      <c r="X25" s="78" cm="1">
        <f t="array" aca="1" ref="X25" ca="1">IF(W$3="None",0,(INDIRECT("TABLE_WTL[@[" &amp; X$4 &amp; "]]")))</f>
        <v>0</v>
      </c>
      <c r="Y25" s="88">
        <f t="shared" ca="1" si="9"/>
        <v>170</v>
      </c>
      <c r="Z25" s="106">
        <f t="shared" ca="1" si="10"/>
        <v>170</v>
      </c>
      <c r="AA25" s="78" cm="1">
        <f t="array" aca="1" ref="AA25" ca="1">IF(Z$3="None",0,(INDIRECT("TABLE_WTL[@[" &amp; AA$4 &amp; "]]")))</f>
        <v>168</v>
      </c>
      <c r="AB25" s="88">
        <f t="shared" ca="1" si="11"/>
        <v>150</v>
      </c>
      <c r="AC25" s="106">
        <f t="shared" ca="1" si="12"/>
        <v>150</v>
      </c>
      <c r="AD25" s="78" cm="1">
        <f t="array" aca="1" ref="AD25" ca="1">IF(AC$3="None",0,(INDIRECT("TABLE_WTL[@[" &amp; AD$4 &amp; "]]")))</f>
        <v>150</v>
      </c>
      <c r="AE25" s="88">
        <f t="shared" ca="1" si="13"/>
        <v>0</v>
      </c>
      <c r="AF25" s="106">
        <f t="shared" ca="1" si="14"/>
        <v>0</v>
      </c>
      <c r="AG25" s="78" cm="1">
        <f t="array" aca="1" ref="AG25" ca="1">IF(AF$3="None",0,(INDIRECT("TABLE_WTL[@[" &amp; AG$4 &amp; "]]")))</f>
        <v>0</v>
      </c>
      <c r="AH25" s="88">
        <f t="shared" ca="1" si="15"/>
        <v>0</v>
      </c>
      <c r="AI25" s="106">
        <f t="shared" ca="1" si="16"/>
        <v>0</v>
      </c>
      <c r="AJ25" s="78" cm="1">
        <f t="array" aca="1" ref="AJ25" ca="1">IF(AI$3="None",0,(INDIRECT("TABLE_WTL[@[" &amp; AJ$4 &amp; "]]")))</f>
        <v>0</v>
      </c>
      <c r="AK25" s="88">
        <f t="shared" ca="1" si="17"/>
        <v>0</v>
      </c>
      <c r="AL25" s="106">
        <f t="shared" ca="1" si="18"/>
        <v>0</v>
      </c>
      <c r="AM25" s="78" cm="1">
        <f t="array" aca="1" ref="AM25" ca="1">IF(AL$3="None",0,(INDIRECT("TABLE_WTL[@[" &amp; AM$4 &amp; "]]")))</f>
        <v>0</v>
      </c>
      <c r="AN25" s="88">
        <f t="shared" ca="1" si="19"/>
        <v>0</v>
      </c>
      <c r="AO25" s="106">
        <f t="shared" ca="1" si="20"/>
        <v>0</v>
      </c>
      <c r="AP25" s="78" cm="1">
        <f t="array" aca="1" ref="AP25" ca="1">IF(AO$3="None",0,(INDIRECT("TABLE_WTL[@[" &amp; AP$4 &amp; "]]")))</f>
        <v>0</v>
      </c>
      <c r="AQ25" s="89"/>
      <c r="AR25" s="109"/>
      <c r="AS25" s="113"/>
      <c r="AT25" s="113"/>
      <c r="AU25" s="113"/>
      <c r="AV25" s="113"/>
      <c r="AW25" s="113"/>
      <c r="AX25" s="114"/>
      <c r="AY25" s="89"/>
      <c r="AZ25" s="129"/>
      <c r="BA25" s="50"/>
      <c r="BB25" s="122"/>
      <c r="BC25" s="123"/>
      <c r="BD25" s="123"/>
      <c r="BE25" s="123"/>
      <c r="BF25" s="123"/>
      <c r="BG25" s="123"/>
      <c r="BH25" s="123"/>
      <c r="BI25" s="124"/>
      <c r="BJ25" s="50"/>
      <c r="BK25" s="80">
        <f>N25/ATP_Conditions!$C$8</f>
        <v>8</v>
      </c>
    </row>
    <row r="26" spans="1:63" s="98" customFormat="1" ht="15" thickBot="1" x14ac:dyDescent="0.4">
      <c r="A26" s="30">
        <f t="shared" si="21"/>
        <v>22</v>
      </c>
      <c r="B26" s="90">
        <f t="shared" si="0"/>
        <v>23</v>
      </c>
      <c r="C26" s="82">
        <f t="shared" si="22"/>
        <v>46174</v>
      </c>
      <c r="D26" s="91" t="str">
        <f t="shared" si="1"/>
        <v>23-2026</v>
      </c>
      <c r="E26" s="92" t="str">
        <f>_xlfn.IFNA(VLOOKUP(D26,Race_Calendar!D:F,2,FALSE),"-")</f>
        <v>Teamtijdrict Recreanten Jan van Arckel</v>
      </c>
      <c r="F26" s="90" t="s">
        <v>2</v>
      </c>
      <c r="G26" s="175">
        <f>_xlfn.IFNA(VLOOKUP($D26,Race_Calendar!$D:$G,4,FALSE),"-")</f>
        <v>46176</v>
      </c>
      <c r="H26" s="93"/>
      <c r="I26" s="104" t="s">
        <v>73</v>
      </c>
      <c r="J26" s="200" t="s">
        <v>97</v>
      </c>
      <c r="K26" s="105" t="str">
        <f t="shared" si="23"/>
        <v>Build 1-2</v>
      </c>
      <c r="L26" s="94"/>
      <c r="M26" s="91"/>
      <c r="N26" s="87">
        <f>VLOOKUP(K26,ATP_Conditions!M:N,2,FALSE)</f>
        <v>560</v>
      </c>
      <c r="O26" s="30">
        <f ca="1">SUM(T26,W26,Z26,AC26,AF26,AI26,AL26,AO26)+ATP_Conditions!$C$7</f>
        <v>205</v>
      </c>
      <c r="P26" s="31">
        <f t="shared" ca="1" si="2"/>
        <v>204</v>
      </c>
      <c r="Q26" s="75">
        <f t="shared" ca="1" si="3"/>
        <v>-355</v>
      </c>
      <c r="R26" s="76">
        <f t="shared" ca="1" si="4"/>
        <v>-356</v>
      </c>
      <c r="S26" s="95">
        <f t="shared" ca="1" si="5"/>
        <v>35</v>
      </c>
      <c r="T26" s="106">
        <f t="shared" ca="1" si="6"/>
        <v>35</v>
      </c>
      <c r="U26" s="78" cm="1">
        <f t="array" aca="1" ref="U26" ca="1">IF(T$3="None",0,(INDIRECT("TABLE_WTL[@[" &amp; U$4 &amp; "]]")))</f>
        <v>36</v>
      </c>
      <c r="V26" s="95">
        <f t="shared" ca="1" si="7"/>
        <v>0</v>
      </c>
      <c r="W26" s="106">
        <f t="shared" ca="1" si="8"/>
        <v>0</v>
      </c>
      <c r="X26" s="78" cm="1">
        <f t="array" aca="1" ref="X26" ca="1">IF(W$3="None",0,(INDIRECT("TABLE_WTL[@[" &amp; X$4 &amp; "]]")))</f>
        <v>0</v>
      </c>
      <c r="Y26" s="95">
        <f t="shared" ca="1" si="9"/>
        <v>170</v>
      </c>
      <c r="Z26" s="107">
        <f t="shared" ca="1" si="10"/>
        <v>170</v>
      </c>
      <c r="AA26" s="78" cm="1">
        <f t="array" aca="1" ref="AA26" ca="1">IF(Z$3="None",0,(INDIRECT("TABLE_WTL[@[" &amp; AA$4 &amp; "]]")))</f>
        <v>168</v>
      </c>
      <c r="AB26" s="95">
        <f t="shared" ca="1" si="11"/>
        <v>0</v>
      </c>
      <c r="AC26" s="106">
        <f t="shared" ca="1" si="12"/>
        <v>0</v>
      </c>
      <c r="AD26" s="78" cm="1">
        <f t="array" aca="1" ref="AD26" ca="1">IF(AC$3="None",0,(INDIRECT("TABLE_WTL[@[" &amp; AD$4 &amp; "]]")))</f>
        <v>0</v>
      </c>
      <c r="AE26" s="95">
        <f t="shared" ca="1" si="13"/>
        <v>0</v>
      </c>
      <c r="AF26" s="106">
        <f t="shared" ca="1" si="14"/>
        <v>0</v>
      </c>
      <c r="AG26" s="78" cm="1">
        <f t="array" aca="1" ref="AG26" ca="1">IF(AF$3="None",0,(INDIRECT("TABLE_WTL[@[" &amp; AG$4 &amp; "]]")))</f>
        <v>0</v>
      </c>
      <c r="AH26" s="95">
        <f t="shared" ca="1" si="15"/>
        <v>0</v>
      </c>
      <c r="AI26" s="106">
        <f t="shared" ca="1" si="16"/>
        <v>0</v>
      </c>
      <c r="AJ26" s="78" cm="1">
        <f t="array" aca="1" ref="AJ26" ca="1">IF(AI$3="None",0,(INDIRECT("TABLE_WTL[@[" &amp; AJ$4 &amp; "]]")))</f>
        <v>0</v>
      </c>
      <c r="AK26" s="95">
        <f t="shared" ca="1" si="17"/>
        <v>0</v>
      </c>
      <c r="AL26" s="106">
        <f t="shared" ca="1" si="18"/>
        <v>0</v>
      </c>
      <c r="AM26" s="78" cm="1">
        <f t="array" aca="1" ref="AM26" ca="1">IF(AL$3="None",0,(INDIRECT("TABLE_WTL[@[" &amp; AM$4 &amp; "]]")))</f>
        <v>0</v>
      </c>
      <c r="AN26" s="95">
        <f t="shared" ca="1" si="19"/>
        <v>0</v>
      </c>
      <c r="AO26" s="106">
        <f t="shared" ca="1" si="20"/>
        <v>0</v>
      </c>
      <c r="AP26" s="78" cm="1">
        <f t="array" aca="1" ref="AP26" ca="1">IF(AO$3="None",0,(INDIRECT("TABLE_WTL[@[" &amp; AP$4 &amp; "]]")))</f>
        <v>0</v>
      </c>
      <c r="AQ26" s="96"/>
      <c r="AR26" s="116"/>
      <c r="AS26" s="117"/>
      <c r="AT26" s="117"/>
      <c r="AU26" s="117"/>
      <c r="AV26" s="117"/>
      <c r="AW26" s="117"/>
      <c r="AX26" s="118"/>
      <c r="AY26" s="96"/>
      <c r="AZ26" s="130"/>
      <c r="BA26" s="97"/>
      <c r="BB26" s="125"/>
      <c r="BC26" s="126"/>
      <c r="BD26" s="126"/>
      <c r="BE26" s="126"/>
      <c r="BF26" s="126"/>
      <c r="BG26" s="126"/>
      <c r="BH26" s="126"/>
      <c r="BI26" s="127"/>
      <c r="BJ26" s="97"/>
      <c r="BK26" s="80">
        <f>N26/ATP_Conditions!$C$8</f>
        <v>8</v>
      </c>
    </row>
    <row r="27" spans="1:63" ht="15" thickBot="1" x14ac:dyDescent="0.4">
      <c r="A27" s="30">
        <f t="shared" si="21"/>
        <v>23</v>
      </c>
      <c r="B27" s="81">
        <f t="shared" si="0"/>
        <v>24</v>
      </c>
      <c r="C27" s="82">
        <f t="shared" si="22"/>
        <v>46181</v>
      </c>
      <c r="D27" s="83" t="str">
        <f t="shared" si="1"/>
        <v>24-2026</v>
      </c>
      <c r="E27" s="84" t="str">
        <f>_xlfn.IFNA(VLOOKUP(D27,Race_Calendar!D:F,2,FALSE),"-")</f>
        <v>-</v>
      </c>
      <c r="F27" s="81" t="str">
        <f>_xlfn.IFNA(VLOOKUP($D27,Race_Calendar!$D:$F,3,FALSE),"-")</f>
        <v>-</v>
      </c>
      <c r="G27" s="175" t="str">
        <f>_xlfn.IFNA(VLOOKUP($D27,Race_Calendar!$D:$G,4,FALSE),"-")</f>
        <v>-</v>
      </c>
      <c r="H27" s="85"/>
      <c r="I27" s="104" t="s">
        <v>73</v>
      </c>
      <c r="J27" s="200" t="s">
        <v>99</v>
      </c>
      <c r="K27" s="105" t="str">
        <f t="shared" si="23"/>
        <v>Build 1-4</v>
      </c>
      <c r="L27" s="86"/>
      <c r="M27" s="83"/>
      <c r="N27" s="87">
        <f>VLOOKUP(K27,ATP_Conditions!M:N,2,FALSE)</f>
        <v>360</v>
      </c>
      <c r="O27" s="30">
        <f ca="1">SUM(T27,W27,Z27,AC27,AF27,AI27,AL27,AO27)+ATP_Conditions!$C$7</f>
        <v>355</v>
      </c>
      <c r="P27" s="31">
        <f t="shared" ca="1" si="2"/>
        <v>354</v>
      </c>
      <c r="Q27" s="75">
        <f t="shared" ca="1" si="3"/>
        <v>-5</v>
      </c>
      <c r="R27" s="76">
        <f t="shared" ca="1" si="4"/>
        <v>-6</v>
      </c>
      <c r="S27" s="88">
        <f t="shared" ca="1" si="5"/>
        <v>35</v>
      </c>
      <c r="T27" s="106">
        <f t="shared" ca="1" si="6"/>
        <v>35</v>
      </c>
      <c r="U27" s="78" cm="1">
        <f t="array" aca="1" ref="U27" ca="1">IF(T$3="None",0,(INDIRECT("TABLE_WTL[@[" &amp; U$4 &amp; "]]")))</f>
        <v>36</v>
      </c>
      <c r="V27" s="88">
        <f t="shared" ca="1" si="7"/>
        <v>0</v>
      </c>
      <c r="W27" s="106">
        <f t="shared" ca="1" si="8"/>
        <v>0</v>
      </c>
      <c r="X27" s="78" cm="1">
        <f t="array" aca="1" ref="X27" ca="1">IF(W$3="None",0,(INDIRECT("TABLE_WTL[@[" &amp; X$4 &amp; "]]")))</f>
        <v>0</v>
      </c>
      <c r="Y27" s="88">
        <f t="shared" ca="1" si="9"/>
        <v>170</v>
      </c>
      <c r="Z27" s="106">
        <f t="shared" ca="1" si="10"/>
        <v>170</v>
      </c>
      <c r="AA27" s="78" cm="1">
        <f t="array" aca="1" ref="AA27" ca="1">IF(Z$3="None",0,(INDIRECT("TABLE_WTL[@[" &amp; AA$4 &amp; "]]")))</f>
        <v>168</v>
      </c>
      <c r="AB27" s="88">
        <f t="shared" ca="1" si="11"/>
        <v>150</v>
      </c>
      <c r="AC27" s="106">
        <f t="shared" ca="1" si="12"/>
        <v>150</v>
      </c>
      <c r="AD27" s="78" cm="1">
        <f t="array" aca="1" ref="AD27" ca="1">IF(AC$3="None",0,(INDIRECT("TABLE_WTL[@[" &amp; AD$4 &amp; "]]")))</f>
        <v>150</v>
      </c>
      <c r="AE27" s="88">
        <f t="shared" ca="1" si="13"/>
        <v>0</v>
      </c>
      <c r="AF27" s="106">
        <f t="shared" ca="1" si="14"/>
        <v>0</v>
      </c>
      <c r="AG27" s="78" cm="1">
        <f t="array" aca="1" ref="AG27" ca="1">IF(AF$3="None",0,(INDIRECT("TABLE_WTL[@[" &amp; AG$4 &amp; "]]")))</f>
        <v>0</v>
      </c>
      <c r="AH27" s="88">
        <f t="shared" ca="1" si="15"/>
        <v>0</v>
      </c>
      <c r="AI27" s="106">
        <f t="shared" ca="1" si="16"/>
        <v>0</v>
      </c>
      <c r="AJ27" s="78" cm="1">
        <f t="array" aca="1" ref="AJ27" ca="1">IF(AI$3="None",0,(INDIRECT("TABLE_WTL[@[" &amp; AJ$4 &amp; "]]")))</f>
        <v>0</v>
      </c>
      <c r="AK27" s="88">
        <f t="shared" ca="1" si="17"/>
        <v>0</v>
      </c>
      <c r="AL27" s="106">
        <f t="shared" ca="1" si="18"/>
        <v>0</v>
      </c>
      <c r="AM27" s="78" cm="1">
        <f t="array" aca="1" ref="AM27" ca="1">IF(AL$3="None",0,(INDIRECT("TABLE_WTL[@[" &amp; AM$4 &amp; "]]")))</f>
        <v>0</v>
      </c>
      <c r="AN27" s="88">
        <f t="shared" ca="1" si="19"/>
        <v>0</v>
      </c>
      <c r="AO27" s="106">
        <f t="shared" ca="1" si="20"/>
        <v>0</v>
      </c>
      <c r="AP27" s="78" cm="1">
        <f t="array" aca="1" ref="AP27" ca="1">IF(AO$3="None",0,(INDIRECT("TABLE_WTL[@[" &amp; AP$4 &amp; "]]")))</f>
        <v>0</v>
      </c>
      <c r="AQ27" s="89"/>
      <c r="AR27" s="109"/>
      <c r="AS27" s="113"/>
      <c r="AT27" s="113"/>
      <c r="AU27" s="113"/>
      <c r="AV27" s="113"/>
      <c r="AW27" s="113"/>
      <c r="AX27" s="114"/>
      <c r="AY27" s="89"/>
      <c r="AZ27" s="129"/>
      <c r="BA27" s="50"/>
      <c r="BB27" s="122"/>
      <c r="BC27" s="123"/>
      <c r="BD27" s="123"/>
      <c r="BE27" s="123"/>
      <c r="BF27" s="123"/>
      <c r="BG27" s="123"/>
      <c r="BH27" s="123"/>
      <c r="BI27" s="124"/>
      <c r="BJ27" s="50"/>
      <c r="BK27" s="80">
        <f>N27/ATP_Conditions!$C$8</f>
        <v>5.1428571428571432</v>
      </c>
    </row>
    <row r="28" spans="1:63" ht="15" thickBot="1" x14ac:dyDescent="0.4">
      <c r="A28" s="30">
        <f t="shared" si="21"/>
        <v>24</v>
      </c>
      <c r="B28" s="81">
        <f t="shared" si="0"/>
        <v>25</v>
      </c>
      <c r="C28" s="82">
        <f t="shared" si="22"/>
        <v>46188</v>
      </c>
      <c r="D28" s="83" t="str">
        <f t="shared" si="1"/>
        <v>25-2026</v>
      </c>
      <c r="E28" s="84" t="str">
        <f>_xlfn.IFNA(VLOOKUP(D28,Race_Calendar!D:F,2,FALSE),"-")</f>
        <v>-</v>
      </c>
      <c r="F28" s="81" t="str">
        <f>_xlfn.IFNA(VLOOKUP($D28,Race_Calendar!$D:$F,3,FALSE),"-")</f>
        <v>-</v>
      </c>
      <c r="G28" s="175" t="str">
        <f>_xlfn.IFNA(VLOOKUP($D28,Race_Calendar!$D:$G,4,FALSE),"-")</f>
        <v>-</v>
      </c>
      <c r="H28" s="85"/>
      <c r="I28" s="104" t="s">
        <v>74</v>
      </c>
      <c r="J28" s="200" t="s">
        <v>96</v>
      </c>
      <c r="K28" s="105" t="str">
        <f t="shared" si="23"/>
        <v>Build 2-1</v>
      </c>
      <c r="L28" s="86"/>
      <c r="M28" s="83"/>
      <c r="N28" s="87">
        <f>VLOOKUP(K28,ATP_Conditions!M:N,2,FALSE)</f>
        <v>620</v>
      </c>
      <c r="O28" s="30">
        <f ca="1">SUM(T28,W28,Z28,AC28,AF28,AI28,AL28,AO28)+ATP_Conditions!$C$7</f>
        <v>355</v>
      </c>
      <c r="P28" s="31">
        <f t="shared" ca="1" si="2"/>
        <v>354</v>
      </c>
      <c r="Q28" s="75">
        <f t="shared" ca="1" si="3"/>
        <v>-265</v>
      </c>
      <c r="R28" s="76">
        <f t="shared" ca="1" si="4"/>
        <v>-266</v>
      </c>
      <c r="S28" s="88">
        <f t="shared" ca="1" si="5"/>
        <v>35</v>
      </c>
      <c r="T28" s="106">
        <f t="shared" ca="1" si="6"/>
        <v>35</v>
      </c>
      <c r="U28" s="78" cm="1">
        <f t="array" aca="1" ref="U28" ca="1">IF(T$3="None",0,(INDIRECT("TABLE_WTL[@[" &amp; U$4 &amp; "]]")))</f>
        <v>36</v>
      </c>
      <c r="V28" s="88">
        <f t="shared" ca="1" si="7"/>
        <v>0</v>
      </c>
      <c r="W28" s="106">
        <f t="shared" ca="1" si="8"/>
        <v>0</v>
      </c>
      <c r="X28" s="78" cm="1">
        <f t="array" aca="1" ref="X28" ca="1">IF(W$3="None",0,(INDIRECT("TABLE_WTL[@[" &amp; X$4 &amp; "]]")))</f>
        <v>0</v>
      </c>
      <c r="Y28" s="88">
        <f t="shared" ca="1" si="9"/>
        <v>170</v>
      </c>
      <c r="Z28" s="106">
        <f t="shared" ca="1" si="10"/>
        <v>170</v>
      </c>
      <c r="AA28" s="78" cm="1">
        <f t="array" aca="1" ref="AA28" ca="1">IF(Z$3="None",0,(INDIRECT("TABLE_WTL[@[" &amp; AA$4 &amp; "]]")))</f>
        <v>168</v>
      </c>
      <c r="AB28" s="88">
        <f t="shared" ca="1" si="11"/>
        <v>150</v>
      </c>
      <c r="AC28" s="106">
        <f t="shared" ca="1" si="12"/>
        <v>150</v>
      </c>
      <c r="AD28" s="78" cm="1">
        <f t="array" aca="1" ref="AD28" ca="1">IF(AC$3="None",0,(INDIRECT("TABLE_WTL[@[" &amp; AD$4 &amp; "]]")))</f>
        <v>150</v>
      </c>
      <c r="AE28" s="88">
        <f t="shared" ca="1" si="13"/>
        <v>0</v>
      </c>
      <c r="AF28" s="106">
        <f t="shared" ca="1" si="14"/>
        <v>0</v>
      </c>
      <c r="AG28" s="78" cm="1">
        <f t="array" aca="1" ref="AG28" ca="1">IF(AF$3="None",0,(INDIRECT("TABLE_WTL[@[" &amp; AG$4 &amp; "]]")))</f>
        <v>0</v>
      </c>
      <c r="AH28" s="88">
        <f t="shared" ca="1" si="15"/>
        <v>0</v>
      </c>
      <c r="AI28" s="106">
        <f t="shared" ca="1" si="16"/>
        <v>0</v>
      </c>
      <c r="AJ28" s="78" cm="1">
        <f t="array" aca="1" ref="AJ28" ca="1">IF(AI$3="None",0,(INDIRECT("TABLE_WTL[@[" &amp; AJ$4 &amp; "]]")))</f>
        <v>0</v>
      </c>
      <c r="AK28" s="88">
        <f t="shared" ca="1" si="17"/>
        <v>0</v>
      </c>
      <c r="AL28" s="106">
        <f t="shared" ca="1" si="18"/>
        <v>0</v>
      </c>
      <c r="AM28" s="78" cm="1">
        <f t="array" aca="1" ref="AM28" ca="1">IF(AL$3="None",0,(INDIRECT("TABLE_WTL[@[" &amp; AM$4 &amp; "]]")))</f>
        <v>0</v>
      </c>
      <c r="AN28" s="88">
        <f t="shared" ca="1" si="19"/>
        <v>0</v>
      </c>
      <c r="AO28" s="106">
        <f t="shared" ca="1" si="20"/>
        <v>0</v>
      </c>
      <c r="AP28" s="78" cm="1">
        <f t="array" aca="1" ref="AP28" ca="1">IF(AO$3="None",0,(INDIRECT("TABLE_WTL[@[" &amp; AP$4 &amp; "]]")))</f>
        <v>0</v>
      </c>
      <c r="AQ28" s="89"/>
      <c r="AR28" s="109"/>
      <c r="AS28" s="113"/>
      <c r="AT28" s="113"/>
      <c r="AU28" s="113"/>
      <c r="AV28" s="113"/>
      <c r="AW28" s="113"/>
      <c r="AX28" s="114"/>
      <c r="AY28" s="89"/>
      <c r="AZ28" s="129"/>
      <c r="BA28" s="50"/>
      <c r="BB28" s="122"/>
      <c r="BC28" s="123"/>
      <c r="BD28" s="123"/>
      <c r="BE28" s="123"/>
      <c r="BF28" s="123"/>
      <c r="BG28" s="123"/>
      <c r="BH28" s="123"/>
      <c r="BI28" s="124"/>
      <c r="BJ28" s="50"/>
      <c r="BK28" s="80">
        <f>N28/ATP_Conditions!$C$8</f>
        <v>8.8571428571428577</v>
      </c>
    </row>
    <row r="29" spans="1:63" ht="15" thickBot="1" x14ac:dyDescent="0.4">
      <c r="A29" s="30">
        <f t="shared" si="21"/>
        <v>25</v>
      </c>
      <c r="B29" s="81">
        <f t="shared" si="0"/>
        <v>26</v>
      </c>
      <c r="C29" s="82">
        <f t="shared" si="22"/>
        <v>46195</v>
      </c>
      <c r="D29" s="83" t="str">
        <f t="shared" si="1"/>
        <v>26-2026</v>
      </c>
      <c r="E29" s="84" t="str">
        <f>_xlfn.IFNA(VLOOKUP(D29,Race_Calendar!D:F,2,FALSE),"-")</f>
        <v>-</v>
      </c>
      <c r="F29" s="81" t="str">
        <f>_xlfn.IFNA(VLOOKUP($D29,Race_Calendar!$D:$F,3,FALSE),"-")</f>
        <v>-</v>
      </c>
      <c r="G29" s="175" t="str">
        <f>_xlfn.IFNA(VLOOKUP($D29,Race_Calendar!$D:$G,4,FALSE),"-")</f>
        <v>-</v>
      </c>
      <c r="H29" s="85"/>
      <c r="I29" s="104" t="s">
        <v>74</v>
      </c>
      <c r="J29" s="200" t="s">
        <v>97</v>
      </c>
      <c r="K29" s="105" t="str">
        <f t="shared" si="23"/>
        <v>Build 2-2</v>
      </c>
      <c r="L29" s="86"/>
      <c r="M29" s="83"/>
      <c r="N29" s="87">
        <f>VLOOKUP(K29,ATP_Conditions!M:N,2,FALSE)</f>
        <v>620</v>
      </c>
      <c r="O29" s="30">
        <f ca="1">SUM(T29,W29,Z29,AC29,AF29,AI29,AL29,AO29)+ATP_Conditions!$C$7</f>
        <v>355</v>
      </c>
      <c r="P29" s="31">
        <f t="shared" ca="1" si="2"/>
        <v>354</v>
      </c>
      <c r="Q29" s="75">
        <f t="shared" ca="1" si="3"/>
        <v>-265</v>
      </c>
      <c r="R29" s="76">
        <f t="shared" ca="1" si="4"/>
        <v>-266</v>
      </c>
      <c r="S29" s="88">
        <f t="shared" ca="1" si="5"/>
        <v>35</v>
      </c>
      <c r="T29" s="106">
        <f t="shared" ca="1" si="6"/>
        <v>35</v>
      </c>
      <c r="U29" s="78" cm="1">
        <f t="array" aca="1" ref="U29" ca="1">IF(T$3="None",0,(INDIRECT("TABLE_WTL[@[" &amp; U$4 &amp; "]]")))</f>
        <v>36</v>
      </c>
      <c r="V29" s="88">
        <f t="shared" ca="1" si="7"/>
        <v>0</v>
      </c>
      <c r="W29" s="106">
        <f t="shared" ca="1" si="8"/>
        <v>0</v>
      </c>
      <c r="X29" s="78" cm="1">
        <f t="array" aca="1" ref="X29" ca="1">IF(W$3="None",0,(INDIRECT("TABLE_WTL[@[" &amp; X$4 &amp; "]]")))</f>
        <v>0</v>
      </c>
      <c r="Y29" s="88">
        <f t="shared" ca="1" si="9"/>
        <v>170</v>
      </c>
      <c r="Z29" s="106">
        <f t="shared" ca="1" si="10"/>
        <v>170</v>
      </c>
      <c r="AA29" s="78" cm="1">
        <f t="array" aca="1" ref="AA29" ca="1">IF(Z$3="None",0,(INDIRECT("TABLE_WTL[@[" &amp; AA$4 &amp; "]]")))</f>
        <v>168</v>
      </c>
      <c r="AB29" s="88">
        <f t="shared" ca="1" si="11"/>
        <v>150</v>
      </c>
      <c r="AC29" s="106">
        <f t="shared" ca="1" si="12"/>
        <v>150</v>
      </c>
      <c r="AD29" s="78" cm="1">
        <f t="array" aca="1" ref="AD29" ca="1">IF(AC$3="None",0,(INDIRECT("TABLE_WTL[@[" &amp; AD$4 &amp; "]]")))</f>
        <v>150</v>
      </c>
      <c r="AE29" s="88">
        <f t="shared" ca="1" si="13"/>
        <v>0</v>
      </c>
      <c r="AF29" s="106">
        <f t="shared" ca="1" si="14"/>
        <v>0</v>
      </c>
      <c r="AG29" s="78" cm="1">
        <f t="array" aca="1" ref="AG29" ca="1">IF(AF$3="None",0,(INDIRECT("TABLE_WTL[@[" &amp; AG$4 &amp; "]]")))</f>
        <v>0</v>
      </c>
      <c r="AH29" s="88">
        <f t="shared" ca="1" si="15"/>
        <v>0</v>
      </c>
      <c r="AI29" s="106">
        <f t="shared" ca="1" si="16"/>
        <v>0</v>
      </c>
      <c r="AJ29" s="78" cm="1">
        <f t="array" aca="1" ref="AJ29" ca="1">IF(AI$3="None",0,(INDIRECT("TABLE_WTL[@[" &amp; AJ$4 &amp; "]]")))</f>
        <v>0</v>
      </c>
      <c r="AK29" s="88">
        <f t="shared" ca="1" si="17"/>
        <v>0</v>
      </c>
      <c r="AL29" s="106">
        <f t="shared" ca="1" si="18"/>
        <v>0</v>
      </c>
      <c r="AM29" s="78" cm="1">
        <f t="array" aca="1" ref="AM29" ca="1">IF(AL$3="None",0,(INDIRECT("TABLE_WTL[@[" &amp; AM$4 &amp; "]]")))</f>
        <v>0</v>
      </c>
      <c r="AN29" s="88">
        <f t="shared" ca="1" si="19"/>
        <v>0</v>
      </c>
      <c r="AO29" s="106">
        <f t="shared" ca="1" si="20"/>
        <v>0</v>
      </c>
      <c r="AP29" s="78" cm="1">
        <f t="array" aca="1" ref="AP29" ca="1">IF(AO$3="None",0,(INDIRECT("TABLE_WTL[@[" &amp; AP$4 &amp; "]]")))</f>
        <v>0</v>
      </c>
      <c r="AQ29" s="89"/>
      <c r="AR29" s="109"/>
      <c r="AS29" s="113"/>
      <c r="AT29" s="113"/>
      <c r="AU29" s="113"/>
      <c r="AV29" s="113"/>
      <c r="AW29" s="113"/>
      <c r="AX29" s="114"/>
      <c r="AY29" s="89"/>
      <c r="AZ29" s="129"/>
      <c r="BA29" s="50"/>
      <c r="BB29" s="122"/>
      <c r="BC29" s="123"/>
      <c r="BD29" s="123"/>
      <c r="BE29" s="123"/>
      <c r="BF29" s="123"/>
      <c r="BG29" s="123"/>
      <c r="BH29" s="123"/>
      <c r="BI29" s="124"/>
      <c r="BJ29" s="50"/>
      <c r="BK29" s="80">
        <f>N29/ATP_Conditions!$C$8</f>
        <v>8.8571428571428577</v>
      </c>
    </row>
    <row r="30" spans="1:63" ht="15" thickBot="1" x14ac:dyDescent="0.4">
      <c r="A30" s="30">
        <f t="shared" si="21"/>
        <v>26</v>
      </c>
      <c r="B30" s="81">
        <f t="shared" si="0"/>
        <v>27</v>
      </c>
      <c r="C30" s="82">
        <f t="shared" si="22"/>
        <v>46202</v>
      </c>
      <c r="D30" s="83" t="str">
        <f t="shared" si="1"/>
        <v>27-2026</v>
      </c>
      <c r="E30" s="84" t="str">
        <f>_xlfn.IFNA(VLOOKUP(D30,Race_Calendar!D:F,2,FALSE),"-")</f>
        <v>-</v>
      </c>
      <c r="F30" s="81" t="str">
        <f>_xlfn.IFNA(VLOOKUP($D30,Race_Calendar!$D:$F,3,FALSE),"-")</f>
        <v>-</v>
      </c>
      <c r="G30" s="175" t="str">
        <f>_xlfn.IFNA(VLOOKUP($D30,Race_Calendar!$D:$G,4,FALSE),"-")</f>
        <v>-</v>
      </c>
      <c r="H30" s="85"/>
      <c r="I30" s="104" t="s">
        <v>74</v>
      </c>
      <c r="J30" s="200">
        <v>3</v>
      </c>
      <c r="K30" s="105" t="str">
        <f t="shared" si="23"/>
        <v>Build 2-3</v>
      </c>
      <c r="L30" s="86"/>
      <c r="M30" s="83"/>
      <c r="N30" s="87">
        <f>VLOOKUP(K30,ATP_Conditions!M:N,2,FALSE)</f>
        <v>620</v>
      </c>
      <c r="O30" s="30">
        <f ca="1">SUM(T30,W30,Z30,AC30,AF30,AI30,AL30,AO30)+ATP_Conditions!$C$7</f>
        <v>355</v>
      </c>
      <c r="P30" s="31">
        <f t="shared" ca="1" si="2"/>
        <v>354</v>
      </c>
      <c r="Q30" s="75">
        <f t="shared" ca="1" si="3"/>
        <v>-265</v>
      </c>
      <c r="R30" s="76">
        <f t="shared" ca="1" si="4"/>
        <v>-266</v>
      </c>
      <c r="S30" s="88">
        <f t="shared" ca="1" si="5"/>
        <v>35</v>
      </c>
      <c r="T30" s="106">
        <f t="shared" ca="1" si="6"/>
        <v>35</v>
      </c>
      <c r="U30" s="78" cm="1">
        <f t="array" aca="1" ref="U30" ca="1">IF(T$3="None",0,(INDIRECT("TABLE_WTL[@[" &amp; U$4 &amp; "]]")))</f>
        <v>36</v>
      </c>
      <c r="V30" s="88">
        <f t="shared" ca="1" si="7"/>
        <v>0</v>
      </c>
      <c r="W30" s="106">
        <f t="shared" ca="1" si="8"/>
        <v>0</v>
      </c>
      <c r="X30" s="78" cm="1">
        <f t="array" aca="1" ref="X30" ca="1">IF(W$3="None",0,(INDIRECT("TABLE_WTL[@[" &amp; X$4 &amp; "]]")))</f>
        <v>0</v>
      </c>
      <c r="Y30" s="88">
        <f t="shared" ca="1" si="9"/>
        <v>170</v>
      </c>
      <c r="Z30" s="106">
        <f t="shared" ca="1" si="10"/>
        <v>170</v>
      </c>
      <c r="AA30" s="78" cm="1">
        <f t="array" aca="1" ref="AA30" ca="1">IF(Z$3="None",0,(INDIRECT("TABLE_WTL[@[" &amp; AA$4 &amp; "]]")))</f>
        <v>168</v>
      </c>
      <c r="AB30" s="88">
        <f t="shared" ca="1" si="11"/>
        <v>150</v>
      </c>
      <c r="AC30" s="106">
        <f t="shared" ca="1" si="12"/>
        <v>150</v>
      </c>
      <c r="AD30" s="78" cm="1">
        <f t="array" aca="1" ref="AD30" ca="1">IF(AC$3="None",0,(INDIRECT("TABLE_WTL[@[" &amp; AD$4 &amp; "]]")))</f>
        <v>150</v>
      </c>
      <c r="AE30" s="88">
        <f t="shared" ca="1" si="13"/>
        <v>0</v>
      </c>
      <c r="AF30" s="106">
        <f t="shared" ca="1" si="14"/>
        <v>0</v>
      </c>
      <c r="AG30" s="78" cm="1">
        <f t="array" aca="1" ref="AG30" ca="1">IF(AF$3="None",0,(INDIRECT("TABLE_WTL[@[" &amp; AG$4 &amp; "]]")))</f>
        <v>0</v>
      </c>
      <c r="AH30" s="88">
        <f t="shared" ca="1" si="15"/>
        <v>0</v>
      </c>
      <c r="AI30" s="106">
        <f t="shared" ca="1" si="16"/>
        <v>0</v>
      </c>
      <c r="AJ30" s="78" cm="1">
        <f t="array" aca="1" ref="AJ30" ca="1">IF(AI$3="None",0,(INDIRECT("TABLE_WTL[@[" &amp; AJ$4 &amp; "]]")))</f>
        <v>0</v>
      </c>
      <c r="AK30" s="88">
        <f t="shared" ca="1" si="17"/>
        <v>0</v>
      </c>
      <c r="AL30" s="106">
        <f t="shared" ca="1" si="18"/>
        <v>0</v>
      </c>
      <c r="AM30" s="78" cm="1">
        <f t="array" aca="1" ref="AM30" ca="1">IF(AL$3="None",0,(INDIRECT("TABLE_WTL[@[" &amp; AM$4 &amp; "]]")))</f>
        <v>0</v>
      </c>
      <c r="AN30" s="88">
        <f t="shared" ca="1" si="19"/>
        <v>0</v>
      </c>
      <c r="AO30" s="106">
        <f t="shared" ca="1" si="20"/>
        <v>0</v>
      </c>
      <c r="AP30" s="78" cm="1">
        <f t="array" aca="1" ref="AP30" ca="1">IF(AO$3="None",0,(INDIRECT("TABLE_WTL[@[" &amp; AP$4 &amp; "]]")))</f>
        <v>0</v>
      </c>
      <c r="AQ30" s="89"/>
      <c r="AR30" s="109"/>
      <c r="AS30" s="113"/>
      <c r="AT30" s="113"/>
      <c r="AU30" s="113"/>
      <c r="AV30" s="113"/>
      <c r="AW30" s="113"/>
      <c r="AX30" s="114"/>
      <c r="AY30" s="89"/>
      <c r="AZ30" s="129"/>
      <c r="BA30" s="50"/>
      <c r="BB30" s="122"/>
      <c r="BC30" s="123"/>
      <c r="BD30" s="123"/>
      <c r="BE30" s="123"/>
      <c r="BF30" s="123"/>
      <c r="BG30" s="123"/>
      <c r="BH30" s="123"/>
      <c r="BI30" s="124"/>
      <c r="BJ30" s="50"/>
      <c r="BK30" s="80">
        <f>N30/ATP_Conditions!$C$8</f>
        <v>8.8571428571428577</v>
      </c>
    </row>
    <row r="31" spans="1:63" ht="15" thickBot="1" x14ac:dyDescent="0.4">
      <c r="A31" s="30">
        <f t="shared" si="21"/>
        <v>27</v>
      </c>
      <c r="B31" s="81">
        <f t="shared" si="0"/>
        <v>28</v>
      </c>
      <c r="C31" s="82">
        <f t="shared" si="22"/>
        <v>46209</v>
      </c>
      <c r="D31" s="83" t="str">
        <f t="shared" si="1"/>
        <v>28-2026</v>
      </c>
      <c r="E31" s="84" t="str">
        <f>_xlfn.IFNA(VLOOKUP(D31,Race_Calendar!D:F,2,FALSE),"-")</f>
        <v>-</v>
      </c>
      <c r="F31" s="81" t="str">
        <f>_xlfn.IFNA(VLOOKUP($D31,Race_Calendar!$D:$F,3,FALSE),"-")</f>
        <v>-</v>
      </c>
      <c r="G31" s="175" t="str">
        <f>_xlfn.IFNA(VLOOKUP($D31,Race_Calendar!$D:$G,4,FALSE),"-")</f>
        <v>-</v>
      </c>
      <c r="H31" s="85"/>
      <c r="I31" s="104" t="s">
        <v>77</v>
      </c>
      <c r="J31" s="200"/>
      <c r="K31" s="105" t="str">
        <f t="shared" si="23"/>
        <v>Trans</v>
      </c>
      <c r="L31" s="86"/>
      <c r="M31" s="83"/>
      <c r="N31" s="87">
        <f>VLOOKUP(K31,ATP_Conditions!M:N,2,FALSE)</f>
        <v>230</v>
      </c>
      <c r="O31" s="30">
        <f ca="1">SUM(T31,W31,Z31,AC31,AF31,AI31,AL31,AO31)+ATP_Conditions!$C$7</f>
        <v>355</v>
      </c>
      <c r="P31" s="31">
        <f t="shared" ca="1" si="2"/>
        <v>354</v>
      </c>
      <c r="Q31" s="75">
        <f t="shared" ca="1" si="3"/>
        <v>125</v>
      </c>
      <c r="R31" s="76">
        <f t="shared" ca="1" si="4"/>
        <v>124</v>
      </c>
      <c r="S31" s="88">
        <f t="shared" ca="1" si="5"/>
        <v>35</v>
      </c>
      <c r="T31" s="106">
        <f t="shared" ca="1" si="6"/>
        <v>35</v>
      </c>
      <c r="U31" s="78" cm="1">
        <f t="array" aca="1" ref="U31" ca="1">IF(T$3="None",0,(INDIRECT("TABLE_WTL[@[" &amp; U$4 &amp; "]]")))</f>
        <v>36</v>
      </c>
      <c r="V31" s="88">
        <f t="shared" ca="1" si="7"/>
        <v>0</v>
      </c>
      <c r="W31" s="106">
        <f t="shared" ca="1" si="8"/>
        <v>0</v>
      </c>
      <c r="X31" s="78" cm="1">
        <f t="array" aca="1" ref="X31" ca="1">IF(W$3="None",0,(INDIRECT("TABLE_WTL[@[" &amp; X$4 &amp; "]]")))</f>
        <v>0</v>
      </c>
      <c r="Y31" s="88">
        <f t="shared" ca="1" si="9"/>
        <v>170</v>
      </c>
      <c r="Z31" s="106">
        <f t="shared" ca="1" si="10"/>
        <v>170</v>
      </c>
      <c r="AA31" s="78" cm="1">
        <f t="array" aca="1" ref="AA31" ca="1">IF(Z$3="None",0,(INDIRECT("TABLE_WTL[@[" &amp; AA$4 &amp; "]]")))</f>
        <v>168</v>
      </c>
      <c r="AB31" s="88">
        <f t="shared" ca="1" si="11"/>
        <v>150</v>
      </c>
      <c r="AC31" s="106">
        <f t="shared" ca="1" si="12"/>
        <v>150</v>
      </c>
      <c r="AD31" s="78" cm="1">
        <f t="array" aca="1" ref="AD31" ca="1">IF(AC$3="None",0,(INDIRECT("TABLE_WTL[@[" &amp; AD$4 &amp; "]]")))</f>
        <v>150</v>
      </c>
      <c r="AE31" s="88">
        <f t="shared" ca="1" si="13"/>
        <v>0</v>
      </c>
      <c r="AF31" s="106">
        <f t="shared" ca="1" si="14"/>
        <v>0</v>
      </c>
      <c r="AG31" s="78" cm="1">
        <f t="array" aca="1" ref="AG31" ca="1">IF(AF$3="None",0,(INDIRECT("TABLE_WTL[@[" &amp; AG$4 &amp; "]]")))</f>
        <v>0</v>
      </c>
      <c r="AH31" s="88">
        <f t="shared" ca="1" si="15"/>
        <v>0</v>
      </c>
      <c r="AI31" s="106">
        <f t="shared" ca="1" si="16"/>
        <v>0</v>
      </c>
      <c r="AJ31" s="78" cm="1">
        <f t="array" aca="1" ref="AJ31" ca="1">IF(AI$3="None",0,(INDIRECT("TABLE_WTL[@[" &amp; AJ$4 &amp; "]]")))</f>
        <v>0</v>
      </c>
      <c r="AK31" s="88">
        <f t="shared" ca="1" si="17"/>
        <v>0</v>
      </c>
      <c r="AL31" s="106">
        <f t="shared" ca="1" si="18"/>
        <v>0</v>
      </c>
      <c r="AM31" s="78" cm="1">
        <f t="array" aca="1" ref="AM31" ca="1">IF(AL$3="None",0,(INDIRECT("TABLE_WTL[@[" &amp; AM$4 &amp; "]]")))</f>
        <v>0</v>
      </c>
      <c r="AN31" s="88">
        <f t="shared" ca="1" si="19"/>
        <v>0</v>
      </c>
      <c r="AO31" s="106">
        <f t="shared" ca="1" si="20"/>
        <v>0</v>
      </c>
      <c r="AP31" s="78" cm="1">
        <f t="array" aca="1" ref="AP31" ca="1">IF(AO$3="None",0,(INDIRECT("TABLE_WTL[@[" &amp; AP$4 &amp; "]]")))</f>
        <v>0</v>
      </c>
      <c r="AQ31" s="89"/>
      <c r="AR31" s="109"/>
      <c r="AS31" s="113"/>
      <c r="AT31" s="113"/>
      <c r="AU31" s="113"/>
      <c r="AV31" s="113"/>
      <c r="AW31" s="113"/>
      <c r="AX31" s="114"/>
      <c r="AY31" s="89"/>
      <c r="AZ31" s="129"/>
      <c r="BA31" s="50"/>
      <c r="BB31" s="122"/>
      <c r="BC31" s="123"/>
      <c r="BD31" s="123"/>
      <c r="BE31" s="123"/>
      <c r="BF31" s="123"/>
      <c r="BG31" s="123"/>
      <c r="BH31" s="123"/>
      <c r="BI31" s="124"/>
      <c r="BJ31" s="50"/>
      <c r="BK31" s="80">
        <f>N31/ATP_Conditions!$C$8</f>
        <v>3.2857142857142856</v>
      </c>
    </row>
    <row r="32" spans="1:63" ht="15" thickBot="1" x14ac:dyDescent="0.4">
      <c r="A32" s="30">
        <f t="shared" si="21"/>
        <v>28</v>
      </c>
      <c r="B32" s="81">
        <f t="shared" si="0"/>
        <v>29</v>
      </c>
      <c r="C32" s="82">
        <f t="shared" si="22"/>
        <v>46216</v>
      </c>
      <c r="D32" s="83" t="str">
        <f t="shared" si="1"/>
        <v>29-2026</v>
      </c>
      <c r="E32" s="84" t="str">
        <f>_xlfn.IFNA(VLOOKUP(D32,Race_Calendar!D:F,2,FALSE),"-")</f>
        <v>-</v>
      </c>
      <c r="F32" s="81" t="str">
        <f>_xlfn.IFNA(VLOOKUP($D32,Race_Calendar!$D:$F,3,FALSE),"-")</f>
        <v>-</v>
      </c>
      <c r="G32" s="175" t="str">
        <f>_xlfn.IFNA(VLOOKUP($D32,Race_Calendar!$D:$G,4,FALSE),"-")</f>
        <v>-</v>
      </c>
      <c r="H32" s="85"/>
      <c r="I32" s="104" t="s">
        <v>77</v>
      </c>
      <c r="J32" s="200"/>
      <c r="K32" s="105" t="str">
        <f t="shared" si="23"/>
        <v>Trans</v>
      </c>
      <c r="L32" s="86"/>
      <c r="M32" s="83"/>
      <c r="N32" s="87">
        <f>VLOOKUP(K32,ATP_Conditions!M:N,2,FALSE)</f>
        <v>230</v>
      </c>
      <c r="O32" s="30">
        <f ca="1">SUM(T32,W32,Z32,AC32,AF32,AI32,AL32,AO32)+ATP_Conditions!$C$7</f>
        <v>355</v>
      </c>
      <c r="P32" s="31">
        <f t="shared" ca="1" si="2"/>
        <v>354</v>
      </c>
      <c r="Q32" s="75">
        <f t="shared" ca="1" si="3"/>
        <v>125</v>
      </c>
      <c r="R32" s="76">
        <f t="shared" ca="1" si="4"/>
        <v>124</v>
      </c>
      <c r="S32" s="88">
        <f t="shared" ca="1" si="5"/>
        <v>35</v>
      </c>
      <c r="T32" s="106">
        <f t="shared" ca="1" si="6"/>
        <v>35</v>
      </c>
      <c r="U32" s="78" cm="1">
        <f t="array" aca="1" ref="U32" ca="1">IF(T$3="None",0,(INDIRECT("TABLE_WTL[@[" &amp; U$4 &amp; "]]")))</f>
        <v>36</v>
      </c>
      <c r="V32" s="88">
        <f t="shared" ca="1" si="7"/>
        <v>0</v>
      </c>
      <c r="W32" s="106">
        <f t="shared" ca="1" si="8"/>
        <v>0</v>
      </c>
      <c r="X32" s="78" cm="1">
        <f t="array" aca="1" ref="X32" ca="1">IF(W$3="None",0,(INDIRECT("TABLE_WTL[@[" &amp; X$4 &amp; "]]")))</f>
        <v>0</v>
      </c>
      <c r="Y32" s="88">
        <f t="shared" ca="1" si="9"/>
        <v>170</v>
      </c>
      <c r="Z32" s="106">
        <f t="shared" ca="1" si="10"/>
        <v>170</v>
      </c>
      <c r="AA32" s="78" cm="1">
        <f t="array" aca="1" ref="AA32" ca="1">IF(Z$3="None",0,(INDIRECT("TABLE_WTL[@[" &amp; AA$4 &amp; "]]")))</f>
        <v>168</v>
      </c>
      <c r="AB32" s="88">
        <f t="shared" ca="1" si="11"/>
        <v>150</v>
      </c>
      <c r="AC32" s="106">
        <f t="shared" ca="1" si="12"/>
        <v>150</v>
      </c>
      <c r="AD32" s="78" cm="1">
        <f t="array" aca="1" ref="AD32" ca="1">IF(AC$3="None",0,(INDIRECT("TABLE_WTL[@[" &amp; AD$4 &amp; "]]")))</f>
        <v>150</v>
      </c>
      <c r="AE32" s="88">
        <f t="shared" ca="1" si="13"/>
        <v>0</v>
      </c>
      <c r="AF32" s="106">
        <f t="shared" ca="1" si="14"/>
        <v>0</v>
      </c>
      <c r="AG32" s="78" cm="1">
        <f t="array" aca="1" ref="AG32" ca="1">IF(AF$3="None",0,(INDIRECT("TABLE_WTL[@[" &amp; AG$4 &amp; "]]")))</f>
        <v>0</v>
      </c>
      <c r="AH32" s="88">
        <f t="shared" ca="1" si="15"/>
        <v>0</v>
      </c>
      <c r="AI32" s="106">
        <f t="shared" ca="1" si="16"/>
        <v>0</v>
      </c>
      <c r="AJ32" s="78" cm="1">
        <f t="array" aca="1" ref="AJ32" ca="1">IF(AI$3="None",0,(INDIRECT("TABLE_WTL[@[" &amp; AJ$4 &amp; "]]")))</f>
        <v>0</v>
      </c>
      <c r="AK32" s="88">
        <f t="shared" ca="1" si="17"/>
        <v>0</v>
      </c>
      <c r="AL32" s="106">
        <f t="shared" ca="1" si="18"/>
        <v>0</v>
      </c>
      <c r="AM32" s="78" cm="1">
        <f t="array" aca="1" ref="AM32" ca="1">IF(AL$3="None",0,(INDIRECT("TABLE_WTL[@[" &amp; AM$4 &amp; "]]")))</f>
        <v>0</v>
      </c>
      <c r="AN32" s="88">
        <f t="shared" ca="1" si="19"/>
        <v>0</v>
      </c>
      <c r="AO32" s="106">
        <f t="shared" ca="1" si="20"/>
        <v>0</v>
      </c>
      <c r="AP32" s="78" cm="1">
        <f t="array" aca="1" ref="AP32" ca="1">IF(AO$3="None",0,(INDIRECT("TABLE_WTL[@[" &amp; AP$4 &amp; "]]")))</f>
        <v>0</v>
      </c>
      <c r="AQ32" s="89"/>
      <c r="AR32" s="109"/>
      <c r="AS32" s="113"/>
      <c r="AT32" s="113"/>
      <c r="AU32" s="113"/>
      <c r="AV32" s="113"/>
      <c r="AW32" s="113"/>
      <c r="AX32" s="114"/>
      <c r="AY32" s="89"/>
      <c r="AZ32" s="129"/>
      <c r="BA32" s="50"/>
      <c r="BB32" s="122"/>
      <c r="BC32" s="123"/>
      <c r="BD32" s="123"/>
      <c r="BE32" s="123"/>
      <c r="BF32" s="123"/>
      <c r="BG32" s="123"/>
      <c r="BH32" s="123"/>
      <c r="BI32" s="124"/>
      <c r="BJ32" s="50"/>
      <c r="BK32" s="80">
        <f>N32/ATP_Conditions!$C$8</f>
        <v>3.2857142857142856</v>
      </c>
    </row>
    <row r="33" spans="1:63" ht="15" thickBot="1" x14ac:dyDescent="0.4">
      <c r="A33" s="30">
        <f t="shared" si="21"/>
        <v>29</v>
      </c>
      <c r="B33" s="81">
        <f t="shared" si="0"/>
        <v>30</v>
      </c>
      <c r="C33" s="82">
        <f t="shared" si="22"/>
        <v>46223</v>
      </c>
      <c r="D33" s="83" t="str">
        <f t="shared" si="1"/>
        <v>30-2026</v>
      </c>
      <c r="E33" s="84" t="str">
        <f>_xlfn.IFNA(VLOOKUP(D33,Race_Calendar!D:F,2,FALSE),"-")</f>
        <v>-</v>
      </c>
      <c r="F33" s="81" t="str">
        <f>_xlfn.IFNA(VLOOKUP($D33,Race_Calendar!$D:$F,3,FALSE),"-")</f>
        <v>-</v>
      </c>
      <c r="G33" s="175" t="str">
        <f>_xlfn.IFNA(VLOOKUP($D33,Race_Calendar!$D:$G,4,FALSE),"-")</f>
        <v>-</v>
      </c>
      <c r="H33" s="85"/>
      <c r="I33" s="104" t="s">
        <v>77</v>
      </c>
      <c r="J33" s="200"/>
      <c r="K33" s="105" t="str">
        <f t="shared" si="23"/>
        <v>Trans</v>
      </c>
      <c r="L33" s="86"/>
      <c r="M33" s="83"/>
      <c r="N33" s="87">
        <f>VLOOKUP(K33,ATP_Conditions!M:N,2,FALSE)</f>
        <v>230</v>
      </c>
      <c r="O33" s="30">
        <f ca="1">SUM(T33,W33,Z33,AC33,AF33,AI33,AL33,AO33)+ATP_Conditions!$C$7</f>
        <v>355</v>
      </c>
      <c r="P33" s="31">
        <f t="shared" ca="1" si="2"/>
        <v>354</v>
      </c>
      <c r="Q33" s="75">
        <f t="shared" ca="1" si="3"/>
        <v>125</v>
      </c>
      <c r="R33" s="76">
        <f t="shared" ca="1" si="4"/>
        <v>124</v>
      </c>
      <c r="S33" s="88">
        <f t="shared" ca="1" si="5"/>
        <v>35</v>
      </c>
      <c r="T33" s="106">
        <f t="shared" ca="1" si="6"/>
        <v>35</v>
      </c>
      <c r="U33" s="78" cm="1">
        <f t="array" aca="1" ref="U33" ca="1">IF(T$3="None",0,(INDIRECT("TABLE_WTL[@[" &amp; U$4 &amp; "]]")))</f>
        <v>36</v>
      </c>
      <c r="V33" s="88">
        <f t="shared" ca="1" si="7"/>
        <v>0</v>
      </c>
      <c r="W33" s="106">
        <f t="shared" ca="1" si="8"/>
        <v>0</v>
      </c>
      <c r="X33" s="78" cm="1">
        <f t="array" aca="1" ref="X33" ca="1">IF(W$3="None",0,(INDIRECT("TABLE_WTL[@[" &amp; X$4 &amp; "]]")))</f>
        <v>0</v>
      </c>
      <c r="Y33" s="88">
        <f t="shared" ca="1" si="9"/>
        <v>170</v>
      </c>
      <c r="Z33" s="106">
        <f t="shared" ca="1" si="10"/>
        <v>170</v>
      </c>
      <c r="AA33" s="78" cm="1">
        <f t="array" aca="1" ref="AA33" ca="1">IF(Z$3="None",0,(INDIRECT("TABLE_WTL[@[" &amp; AA$4 &amp; "]]")))</f>
        <v>168</v>
      </c>
      <c r="AB33" s="88">
        <f t="shared" ca="1" si="11"/>
        <v>150</v>
      </c>
      <c r="AC33" s="106">
        <f t="shared" ca="1" si="12"/>
        <v>150</v>
      </c>
      <c r="AD33" s="78" cm="1">
        <f t="array" aca="1" ref="AD33" ca="1">IF(AC$3="None",0,(INDIRECT("TABLE_WTL[@[" &amp; AD$4 &amp; "]]")))</f>
        <v>150</v>
      </c>
      <c r="AE33" s="88">
        <f t="shared" ca="1" si="13"/>
        <v>0</v>
      </c>
      <c r="AF33" s="106">
        <f t="shared" ca="1" si="14"/>
        <v>0</v>
      </c>
      <c r="AG33" s="78" cm="1">
        <f t="array" aca="1" ref="AG33" ca="1">IF(AF$3="None",0,(INDIRECT("TABLE_WTL[@[" &amp; AG$4 &amp; "]]")))</f>
        <v>0</v>
      </c>
      <c r="AH33" s="88">
        <f t="shared" ca="1" si="15"/>
        <v>0</v>
      </c>
      <c r="AI33" s="106">
        <f t="shared" ca="1" si="16"/>
        <v>0</v>
      </c>
      <c r="AJ33" s="78" cm="1">
        <f t="array" aca="1" ref="AJ33" ca="1">IF(AI$3="None",0,(INDIRECT("TABLE_WTL[@[" &amp; AJ$4 &amp; "]]")))</f>
        <v>0</v>
      </c>
      <c r="AK33" s="88">
        <f t="shared" ca="1" si="17"/>
        <v>0</v>
      </c>
      <c r="AL33" s="106">
        <f t="shared" ca="1" si="18"/>
        <v>0</v>
      </c>
      <c r="AM33" s="78" cm="1">
        <f t="array" aca="1" ref="AM33" ca="1">IF(AL$3="None",0,(INDIRECT("TABLE_WTL[@[" &amp; AM$4 &amp; "]]")))</f>
        <v>0</v>
      </c>
      <c r="AN33" s="88">
        <f t="shared" ca="1" si="19"/>
        <v>0</v>
      </c>
      <c r="AO33" s="106">
        <f t="shared" ca="1" si="20"/>
        <v>0</v>
      </c>
      <c r="AP33" s="78" cm="1">
        <f t="array" aca="1" ref="AP33" ca="1">IF(AO$3="None",0,(INDIRECT("TABLE_WTL[@[" &amp; AP$4 &amp; "]]")))</f>
        <v>0</v>
      </c>
      <c r="AQ33" s="89"/>
      <c r="AR33" s="109"/>
      <c r="AS33" s="113"/>
      <c r="AT33" s="113"/>
      <c r="AU33" s="113"/>
      <c r="AV33" s="113"/>
      <c r="AW33" s="113"/>
      <c r="AX33" s="114"/>
      <c r="AY33" s="89"/>
      <c r="AZ33" s="129"/>
      <c r="BA33" s="50"/>
      <c r="BB33" s="122"/>
      <c r="BC33" s="123"/>
      <c r="BD33" s="123"/>
      <c r="BE33" s="123"/>
      <c r="BF33" s="123"/>
      <c r="BG33" s="123"/>
      <c r="BH33" s="123"/>
      <c r="BI33" s="124"/>
      <c r="BJ33" s="50"/>
      <c r="BK33" s="80">
        <f>N33/ATP_Conditions!$C$8</f>
        <v>3.2857142857142856</v>
      </c>
    </row>
    <row r="34" spans="1:63" ht="15" thickBot="1" x14ac:dyDescent="0.4">
      <c r="A34" s="30">
        <f t="shared" si="21"/>
        <v>30</v>
      </c>
      <c r="B34" s="81">
        <f t="shared" si="0"/>
        <v>31</v>
      </c>
      <c r="C34" s="82">
        <f t="shared" si="22"/>
        <v>46230</v>
      </c>
      <c r="D34" s="83" t="str">
        <f t="shared" si="1"/>
        <v>31-2026</v>
      </c>
      <c r="E34" s="84" t="str">
        <f>_xlfn.IFNA(VLOOKUP(D34,Race_Calendar!D:F,2,FALSE),"-")</f>
        <v>-</v>
      </c>
      <c r="F34" s="81" t="str">
        <f>_xlfn.IFNA(VLOOKUP($D34,Race_Calendar!$D:$F,3,FALSE),"-")</f>
        <v>-</v>
      </c>
      <c r="G34" s="175" t="str">
        <f>_xlfn.IFNA(VLOOKUP($D34,Race_Calendar!$D:$G,4,FALSE),"-")</f>
        <v>-</v>
      </c>
      <c r="H34" s="85"/>
      <c r="I34" s="104" t="s">
        <v>74</v>
      </c>
      <c r="J34" s="200">
        <v>1</v>
      </c>
      <c r="K34" s="105" t="str">
        <f t="shared" si="23"/>
        <v>Build 2-1</v>
      </c>
      <c r="L34" s="86"/>
      <c r="M34" s="83"/>
      <c r="N34" s="87">
        <f>VLOOKUP(K34,ATP_Conditions!M:N,2,FALSE)</f>
        <v>620</v>
      </c>
      <c r="O34" s="30">
        <f ca="1">SUM(T34,W34,Z34,AC34,AF34,AI34,AL34,AO34)+ATP_Conditions!$C$7</f>
        <v>355</v>
      </c>
      <c r="P34" s="31">
        <f t="shared" ca="1" si="2"/>
        <v>354</v>
      </c>
      <c r="Q34" s="75">
        <f t="shared" ca="1" si="3"/>
        <v>-265</v>
      </c>
      <c r="R34" s="76">
        <f t="shared" ca="1" si="4"/>
        <v>-266</v>
      </c>
      <c r="S34" s="88">
        <f t="shared" ca="1" si="5"/>
        <v>35</v>
      </c>
      <c r="T34" s="106">
        <f t="shared" ca="1" si="6"/>
        <v>35</v>
      </c>
      <c r="U34" s="78" cm="1">
        <f t="array" aca="1" ref="U34" ca="1">IF(T$3="None",0,(INDIRECT("TABLE_WTL[@[" &amp; U$4 &amp; "]]")))</f>
        <v>36</v>
      </c>
      <c r="V34" s="88">
        <f t="shared" ca="1" si="7"/>
        <v>0</v>
      </c>
      <c r="W34" s="106">
        <f t="shared" ca="1" si="8"/>
        <v>0</v>
      </c>
      <c r="X34" s="78" cm="1">
        <f t="array" aca="1" ref="X34" ca="1">IF(W$3="None",0,(INDIRECT("TABLE_WTL[@[" &amp; X$4 &amp; "]]")))</f>
        <v>0</v>
      </c>
      <c r="Y34" s="88">
        <f t="shared" ca="1" si="9"/>
        <v>170</v>
      </c>
      <c r="Z34" s="106">
        <f t="shared" ca="1" si="10"/>
        <v>170</v>
      </c>
      <c r="AA34" s="78" cm="1">
        <f t="array" aca="1" ref="AA34" ca="1">IF(Z$3="None",0,(INDIRECT("TABLE_WTL[@[" &amp; AA$4 &amp; "]]")))</f>
        <v>168</v>
      </c>
      <c r="AB34" s="88">
        <f t="shared" ca="1" si="11"/>
        <v>150</v>
      </c>
      <c r="AC34" s="106">
        <f t="shared" ca="1" si="12"/>
        <v>150</v>
      </c>
      <c r="AD34" s="78" cm="1">
        <f t="array" aca="1" ref="AD34" ca="1">IF(AC$3="None",0,(INDIRECT("TABLE_WTL[@[" &amp; AD$4 &amp; "]]")))</f>
        <v>150</v>
      </c>
      <c r="AE34" s="88">
        <f t="shared" ca="1" si="13"/>
        <v>0</v>
      </c>
      <c r="AF34" s="106">
        <f t="shared" ca="1" si="14"/>
        <v>0</v>
      </c>
      <c r="AG34" s="78" cm="1">
        <f t="array" aca="1" ref="AG34" ca="1">IF(AF$3="None",0,(INDIRECT("TABLE_WTL[@[" &amp; AG$4 &amp; "]]")))</f>
        <v>0</v>
      </c>
      <c r="AH34" s="88">
        <f t="shared" ca="1" si="15"/>
        <v>0</v>
      </c>
      <c r="AI34" s="106">
        <f t="shared" ca="1" si="16"/>
        <v>0</v>
      </c>
      <c r="AJ34" s="78" cm="1">
        <f t="array" aca="1" ref="AJ34" ca="1">IF(AI$3="None",0,(INDIRECT("TABLE_WTL[@[" &amp; AJ$4 &amp; "]]")))</f>
        <v>0</v>
      </c>
      <c r="AK34" s="88">
        <f t="shared" ca="1" si="17"/>
        <v>0</v>
      </c>
      <c r="AL34" s="106">
        <f t="shared" ca="1" si="18"/>
        <v>0</v>
      </c>
      <c r="AM34" s="78" cm="1">
        <f t="array" aca="1" ref="AM34" ca="1">IF(AL$3="None",0,(INDIRECT("TABLE_WTL[@[" &amp; AM$4 &amp; "]]")))</f>
        <v>0</v>
      </c>
      <c r="AN34" s="88">
        <f t="shared" ca="1" si="19"/>
        <v>0</v>
      </c>
      <c r="AO34" s="106">
        <f t="shared" ca="1" si="20"/>
        <v>0</v>
      </c>
      <c r="AP34" s="78" cm="1">
        <f t="array" aca="1" ref="AP34" ca="1">IF(AO$3="None",0,(INDIRECT("TABLE_WTL[@[" &amp; AP$4 &amp; "]]")))</f>
        <v>0</v>
      </c>
      <c r="AQ34" s="89"/>
      <c r="AR34" s="109"/>
      <c r="AS34" s="113"/>
      <c r="AT34" s="113"/>
      <c r="AU34" s="113"/>
      <c r="AV34" s="113"/>
      <c r="AW34" s="113"/>
      <c r="AX34" s="114"/>
      <c r="AY34" s="89"/>
      <c r="AZ34" s="129"/>
      <c r="BA34" s="50"/>
      <c r="BB34" s="122"/>
      <c r="BC34" s="123"/>
      <c r="BD34" s="123"/>
      <c r="BE34" s="123"/>
      <c r="BF34" s="123"/>
      <c r="BG34" s="123"/>
      <c r="BH34" s="123"/>
      <c r="BI34" s="124"/>
      <c r="BJ34" s="50"/>
      <c r="BK34" s="80">
        <f>N34/ATP_Conditions!$C$8</f>
        <v>8.8571428571428577</v>
      </c>
    </row>
    <row r="35" spans="1:63" ht="15" thickBot="1" x14ac:dyDescent="0.4">
      <c r="A35" s="30">
        <f t="shared" si="21"/>
        <v>31</v>
      </c>
      <c r="B35" s="81">
        <f t="shared" si="0"/>
        <v>32</v>
      </c>
      <c r="C35" s="82">
        <f t="shared" si="22"/>
        <v>46237</v>
      </c>
      <c r="D35" s="83" t="str">
        <f t="shared" si="1"/>
        <v>32-2026</v>
      </c>
      <c r="E35" s="84" t="str">
        <f>_xlfn.IFNA(VLOOKUP(D35,Race_Calendar!D:F,2,FALSE),"-")</f>
        <v>-</v>
      </c>
      <c r="F35" s="81" t="str">
        <f>_xlfn.IFNA(VLOOKUP($D35,Race_Calendar!$D:$F,3,FALSE),"-")</f>
        <v>-</v>
      </c>
      <c r="G35" s="175" t="str">
        <f>_xlfn.IFNA(VLOOKUP($D35,Race_Calendar!$D:$G,4,FALSE),"-")</f>
        <v>-</v>
      </c>
      <c r="H35" s="85"/>
      <c r="I35" s="104" t="s">
        <v>74</v>
      </c>
      <c r="J35" s="200">
        <v>2</v>
      </c>
      <c r="K35" s="105" t="str">
        <f t="shared" si="23"/>
        <v>Build 2-2</v>
      </c>
      <c r="L35" s="86"/>
      <c r="M35" s="83"/>
      <c r="N35" s="87">
        <f>VLOOKUP(K35,ATP_Conditions!M:N,2,FALSE)</f>
        <v>620</v>
      </c>
      <c r="O35" s="30">
        <f ca="1">SUM(T35,W35,Z35,AC35,AF35,AI35,AL35,AO35)+ATP_Conditions!$C$7</f>
        <v>290</v>
      </c>
      <c r="P35" s="31">
        <f ca="1">SUM(U35,X35,AA35,AD35,AG35,AJ35,AM35,AP35)</f>
        <v>290</v>
      </c>
      <c r="Q35" s="75">
        <f t="shared" ca="1" si="3"/>
        <v>-330</v>
      </c>
      <c r="R35" s="76">
        <f t="shared" ca="1" si="4"/>
        <v>-330</v>
      </c>
      <c r="S35" s="88">
        <f t="shared" ca="1" si="5"/>
        <v>0</v>
      </c>
      <c r="T35" s="106">
        <f t="shared" ca="1" si="6"/>
        <v>0</v>
      </c>
      <c r="U35" s="78" cm="1">
        <f t="array" aca="1" ref="U35" ca="1">IF(T$3="None",0,(INDIRECT("TABLE_WTL[@[" &amp; U$4 &amp; "]]")))</f>
        <v>0</v>
      </c>
      <c r="V35" s="88">
        <f t="shared" ca="1" si="7"/>
        <v>0</v>
      </c>
      <c r="W35" s="106">
        <f t="shared" ca="1" si="8"/>
        <v>0</v>
      </c>
      <c r="X35" s="78" cm="1">
        <f t="array" aca="1" ref="X35" ca="1">IF(W$3="None",0,(INDIRECT("TABLE_WTL[@[" &amp; X$4 &amp; "]]")))</f>
        <v>0</v>
      </c>
      <c r="Y35" s="88">
        <f t="shared" ca="1" si="9"/>
        <v>140</v>
      </c>
      <c r="Z35" s="106">
        <f t="shared" ca="1" si="10"/>
        <v>140</v>
      </c>
      <c r="AA35" s="78" cm="1">
        <f t="array" aca="1" ref="AA35" ca="1">IF(Z$3="None",0,(INDIRECT("TABLE_WTL[@[" &amp; AA$4 &amp; "]]")))</f>
        <v>140</v>
      </c>
      <c r="AB35" s="88">
        <f t="shared" ca="1" si="11"/>
        <v>150</v>
      </c>
      <c r="AC35" s="106">
        <f t="shared" ca="1" si="12"/>
        <v>150</v>
      </c>
      <c r="AD35" s="78" cm="1">
        <f t="array" aca="1" ref="AD35" ca="1">IF(AC$3="None",0,(INDIRECT("TABLE_WTL[@[" &amp; AD$4 &amp; "]]")))</f>
        <v>150</v>
      </c>
      <c r="AE35" s="88">
        <f t="shared" ca="1" si="13"/>
        <v>0</v>
      </c>
      <c r="AF35" s="106">
        <f t="shared" ca="1" si="14"/>
        <v>0</v>
      </c>
      <c r="AG35" s="78" cm="1">
        <f t="array" aca="1" ref="AG35" ca="1">IF(AF$3="None",0,(INDIRECT("TABLE_WTL[@[" &amp; AG$4 &amp; "]]")))</f>
        <v>0</v>
      </c>
      <c r="AH35" s="88">
        <f t="shared" ca="1" si="15"/>
        <v>0</v>
      </c>
      <c r="AI35" s="106">
        <f t="shared" ca="1" si="16"/>
        <v>0</v>
      </c>
      <c r="AJ35" s="78" cm="1">
        <f t="array" aca="1" ref="AJ35" ca="1">IF(AI$3="None",0,(INDIRECT("TABLE_WTL[@[" &amp; AJ$4 &amp; "]]")))</f>
        <v>0</v>
      </c>
      <c r="AK35" s="88">
        <f t="shared" ca="1" si="17"/>
        <v>0</v>
      </c>
      <c r="AL35" s="106">
        <f t="shared" ca="1" si="18"/>
        <v>0</v>
      </c>
      <c r="AM35" s="78" cm="1">
        <f t="array" aca="1" ref="AM35" ca="1">IF(AL$3="None",0,(INDIRECT("TABLE_WTL[@[" &amp; AM$4 &amp; "]]")))</f>
        <v>0</v>
      </c>
      <c r="AN35" s="88">
        <f t="shared" ca="1" si="19"/>
        <v>0</v>
      </c>
      <c r="AO35" s="106">
        <f t="shared" ca="1" si="20"/>
        <v>0</v>
      </c>
      <c r="AP35" s="78" cm="1">
        <f t="array" aca="1" ref="AP35" ca="1">IF(AO$3="None",0,(INDIRECT("TABLE_WTL[@[" &amp; AP$4 &amp; "]]")))</f>
        <v>0</v>
      </c>
      <c r="AQ35" s="89"/>
      <c r="AR35" s="109"/>
      <c r="AS35" s="113"/>
      <c r="AT35" s="113"/>
      <c r="AU35" s="113"/>
      <c r="AV35" s="113"/>
      <c r="AW35" s="113"/>
      <c r="AX35" s="114"/>
      <c r="AY35" s="89"/>
      <c r="AZ35" s="129"/>
      <c r="BA35" s="50"/>
      <c r="BB35" s="122"/>
      <c r="BC35" s="123"/>
      <c r="BD35" s="123"/>
      <c r="BE35" s="123"/>
      <c r="BF35" s="123"/>
      <c r="BG35" s="123"/>
      <c r="BH35" s="123"/>
      <c r="BI35" s="124"/>
      <c r="BJ35" s="50"/>
      <c r="BK35" s="80">
        <f>N35/ATP_Conditions!$C$8</f>
        <v>8.8571428571428577</v>
      </c>
    </row>
    <row r="36" spans="1:63" ht="15" thickBot="1" x14ac:dyDescent="0.4">
      <c r="A36" s="30">
        <f t="shared" si="21"/>
        <v>32</v>
      </c>
      <c r="B36" s="81">
        <f t="shared" si="0"/>
        <v>33</v>
      </c>
      <c r="C36" s="82">
        <f t="shared" si="22"/>
        <v>46244</v>
      </c>
      <c r="D36" s="83" t="str">
        <f t="shared" si="1"/>
        <v>33-2026</v>
      </c>
      <c r="E36" s="84" t="str">
        <f>_xlfn.IFNA(VLOOKUP(D36,Race_Calendar!D:F,2,FALSE),"-")</f>
        <v>-</v>
      </c>
      <c r="F36" s="81" t="str">
        <f>_xlfn.IFNA(VLOOKUP($D36,Race_Calendar!$D:$F,3,FALSE),"-")</f>
        <v>-</v>
      </c>
      <c r="G36" s="175" t="str">
        <f>_xlfn.IFNA(VLOOKUP($D36,Race_Calendar!$D:$G,4,FALSE),"-")</f>
        <v>-</v>
      </c>
      <c r="H36" s="85"/>
      <c r="I36" s="104" t="s">
        <v>74</v>
      </c>
      <c r="J36" s="200">
        <v>3</v>
      </c>
      <c r="K36" s="105" t="str">
        <f t="shared" si="23"/>
        <v>Build 2-3</v>
      </c>
      <c r="L36" s="86"/>
      <c r="M36" s="83"/>
      <c r="N36" s="87">
        <f>VLOOKUP(K36,ATP_Conditions!M:N,2,FALSE)</f>
        <v>620</v>
      </c>
      <c r="O36" s="99">
        <f ca="1">SUM(T36,W36,Z36,AC36,AF36,AI36,AL36,AO36)+ATP_Conditions!$C$7</f>
        <v>150</v>
      </c>
      <c r="P36" s="31">
        <f t="shared" ca="1" si="2"/>
        <v>150</v>
      </c>
      <c r="Q36" s="75">
        <f t="shared" ca="1" si="3"/>
        <v>-470</v>
      </c>
      <c r="R36" s="76">
        <f t="shared" ca="1" si="4"/>
        <v>-470</v>
      </c>
      <c r="S36" s="88">
        <f t="shared" ca="1" si="5"/>
        <v>0</v>
      </c>
      <c r="T36" s="106">
        <f t="shared" ca="1" si="6"/>
        <v>0</v>
      </c>
      <c r="U36" s="78" cm="1">
        <f t="array" aca="1" ref="U36" ca="1">IF(T$3="None",0,(INDIRECT("TABLE_WTL[@[" &amp; U$4 &amp; "]]")))</f>
        <v>0</v>
      </c>
      <c r="V36" s="88">
        <f t="shared" ca="1" si="7"/>
        <v>0</v>
      </c>
      <c r="W36" s="106">
        <f t="shared" ca="1" si="8"/>
        <v>0</v>
      </c>
      <c r="X36" s="78" cm="1">
        <f t="array" aca="1" ref="X36" ca="1">IF(W$3="None",0,(INDIRECT("TABLE_WTL[@[" &amp; X$4 &amp; "]]")))</f>
        <v>0</v>
      </c>
      <c r="Y36" s="88">
        <f t="shared" ca="1" si="9"/>
        <v>0</v>
      </c>
      <c r="Z36" s="106">
        <f t="shared" ca="1" si="10"/>
        <v>0</v>
      </c>
      <c r="AA36" s="78" cm="1">
        <f t="array" aca="1" ref="AA36" ca="1">IF(Z$3="None",0,(INDIRECT("TABLE_WTL[@[" &amp; AA$4 &amp; "]]")))</f>
        <v>0</v>
      </c>
      <c r="AB36" s="88">
        <f t="shared" ca="1" si="11"/>
        <v>150</v>
      </c>
      <c r="AC36" s="106">
        <f t="shared" ca="1" si="12"/>
        <v>150</v>
      </c>
      <c r="AD36" s="78" cm="1">
        <f t="array" aca="1" ref="AD36" ca="1">IF(AC$3="None",0,(INDIRECT("TABLE_WTL[@[" &amp; AD$4 &amp; "]]")))</f>
        <v>150</v>
      </c>
      <c r="AE36" s="88">
        <f t="shared" ca="1" si="13"/>
        <v>0</v>
      </c>
      <c r="AF36" s="106">
        <f t="shared" ca="1" si="14"/>
        <v>0</v>
      </c>
      <c r="AG36" s="78" cm="1">
        <f t="array" aca="1" ref="AG36" ca="1">IF(AF$3="None",0,(INDIRECT("TABLE_WTL[@[" &amp; AG$4 &amp; "]]")))</f>
        <v>0</v>
      </c>
      <c r="AH36" s="88">
        <f t="shared" ca="1" si="15"/>
        <v>0</v>
      </c>
      <c r="AI36" s="106">
        <f t="shared" ca="1" si="16"/>
        <v>0</v>
      </c>
      <c r="AJ36" s="78" cm="1">
        <f t="array" aca="1" ref="AJ36" ca="1">IF(AI$3="None",0,(INDIRECT("TABLE_WTL[@[" &amp; AJ$4 &amp; "]]")))</f>
        <v>0</v>
      </c>
      <c r="AK36" s="88">
        <f t="shared" ca="1" si="17"/>
        <v>0</v>
      </c>
      <c r="AL36" s="106">
        <f t="shared" ca="1" si="18"/>
        <v>0</v>
      </c>
      <c r="AM36" s="78" cm="1">
        <f t="array" aca="1" ref="AM36" ca="1">IF(AL$3="None",0,(INDIRECT("TABLE_WTL[@[" &amp; AM$4 &amp; "]]")))</f>
        <v>0</v>
      </c>
      <c r="AN36" s="88">
        <f t="shared" ca="1" si="19"/>
        <v>0</v>
      </c>
      <c r="AO36" s="106">
        <f t="shared" ca="1" si="20"/>
        <v>0</v>
      </c>
      <c r="AP36" s="78" cm="1">
        <f t="array" aca="1" ref="AP36" ca="1">IF(AO$3="None",0,(INDIRECT("TABLE_WTL[@[" &amp; AP$4 &amp; "]]")))</f>
        <v>0</v>
      </c>
      <c r="AQ36" s="89"/>
      <c r="AR36" s="109"/>
      <c r="AS36" s="113"/>
      <c r="AT36" s="113"/>
      <c r="AU36" s="113"/>
      <c r="AV36" s="113"/>
      <c r="AW36" s="113"/>
      <c r="AX36" s="114"/>
      <c r="AY36" s="89"/>
      <c r="AZ36" s="129"/>
      <c r="BA36" s="50"/>
      <c r="BB36" s="122"/>
      <c r="BC36" s="123"/>
      <c r="BD36" s="123"/>
      <c r="BE36" s="123"/>
      <c r="BF36" s="123"/>
      <c r="BG36" s="123"/>
      <c r="BH36" s="123"/>
      <c r="BI36" s="124"/>
      <c r="BJ36" s="50"/>
      <c r="BK36" s="80">
        <f>N36/ATP_Conditions!$C$8</f>
        <v>8.8571428571428577</v>
      </c>
    </row>
    <row r="37" spans="1:63" ht="15" thickBot="1" x14ac:dyDescent="0.4">
      <c r="A37" s="30">
        <f t="shared" si="21"/>
        <v>33</v>
      </c>
      <c r="B37" s="81">
        <f t="shared" si="0"/>
        <v>34</v>
      </c>
      <c r="C37" s="82">
        <f t="shared" si="22"/>
        <v>46251</v>
      </c>
      <c r="D37" s="83" t="str">
        <f t="shared" si="1"/>
        <v>34-2026</v>
      </c>
      <c r="E37" s="84" t="str">
        <f>_xlfn.IFNA(VLOOKUP(D37,Race_Calendar!D:F,2,FALSE),"-")</f>
        <v>De 42e editie Kwart(je) &amp; Trio Triathlon Anna Paulowna</v>
      </c>
      <c r="F37" s="81" t="str">
        <f>_xlfn.IFNA(VLOOKUP($D37,Race_Calendar!$D:$F,3,FALSE),"-")</f>
        <v>B</v>
      </c>
      <c r="G37" s="175">
        <f>_xlfn.IFNA(VLOOKUP($D37,Race_Calendar!$D:$G,4,FALSE),"-")</f>
        <v>46256</v>
      </c>
      <c r="H37" s="85"/>
      <c r="I37" s="104" t="s">
        <v>74</v>
      </c>
      <c r="J37" s="200" t="s">
        <v>99</v>
      </c>
      <c r="K37" s="105" t="str">
        <f t="shared" si="23"/>
        <v>Build 2-4</v>
      </c>
      <c r="L37" s="86"/>
      <c r="M37" s="83"/>
      <c r="N37" s="87">
        <f>VLOOKUP(K37,ATP_Conditions!M:N,2,FALSE)</f>
        <v>360</v>
      </c>
      <c r="O37" s="30">
        <f ca="1">SUM(T37,W37,Z37,AC37,AF37,AI37,AL37,AO37)+ATP_Conditions!$C$7</f>
        <v>150</v>
      </c>
      <c r="P37" s="31">
        <f t="shared" ref="P37:P55" ca="1" si="24">SUM(U37,X37,AA37,AD37,AG37,AJ37,AM37,AP37)</f>
        <v>150</v>
      </c>
      <c r="Q37" s="75">
        <f t="shared" ca="1" si="3"/>
        <v>-210</v>
      </c>
      <c r="R37" s="76">
        <f t="shared" ca="1" si="4"/>
        <v>-210</v>
      </c>
      <c r="S37" s="88">
        <f t="shared" ca="1" si="5"/>
        <v>0</v>
      </c>
      <c r="T37" s="106">
        <f t="shared" ca="1" si="6"/>
        <v>0</v>
      </c>
      <c r="U37" s="78" cm="1">
        <f t="array" aca="1" ref="U37" ca="1">IF(T$3="None",0,(INDIRECT("TABLE_WTL[@[" &amp; U$4 &amp; "]]")))</f>
        <v>0</v>
      </c>
      <c r="V37" s="88">
        <f t="shared" ca="1" si="7"/>
        <v>0</v>
      </c>
      <c r="W37" s="106">
        <f t="shared" ca="1" si="8"/>
        <v>0</v>
      </c>
      <c r="X37" s="78" cm="1">
        <f t="array" aca="1" ref="X37" ca="1">IF(W$3="None",0,(INDIRECT("TABLE_WTL[@[" &amp; X$4 &amp; "]]")))</f>
        <v>0</v>
      </c>
      <c r="Y37" s="88">
        <f t="shared" ca="1" si="9"/>
        <v>0</v>
      </c>
      <c r="Z37" s="106">
        <f t="shared" ca="1" si="10"/>
        <v>0</v>
      </c>
      <c r="AA37" s="78" cm="1">
        <f t="array" aca="1" ref="AA37" ca="1">IF(Z$3="None",0,(INDIRECT("TABLE_WTL[@[" &amp; AA$4 &amp; "]]")))</f>
        <v>0</v>
      </c>
      <c r="AB37" s="88">
        <f t="shared" ca="1" si="11"/>
        <v>150</v>
      </c>
      <c r="AC37" s="106">
        <f t="shared" ca="1" si="12"/>
        <v>150</v>
      </c>
      <c r="AD37" s="78" cm="1">
        <f t="array" aca="1" ref="AD37" ca="1">IF(AC$3="None",0,(INDIRECT("TABLE_WTL[@[" &amp; AD$4 &amp; "]]")))</f>
        <v>150</v>
      </c>
      <c r="AE37" s="88">
        <f t="shared" ca="1" si="13"/>
        <v>0</v>
      </c>
      <c r="AF37" s="106">
        <f t="shared" ca="1" si="14"/>
        <v>0</v>
      </c>
      <c r="AG37" s="78" cm="1">
        <f t="array" aca="1" ref="AG37" ca="1">IF(AF$3="None",0,(INDIRECT("TABLE_WTL[@[" &amp; AG$4 &amp; "]]")))</f>
        <v>0</v>
      </c>
      <c r="AH37" s="88">
        <f t="shared" ca="1" si="15"/>
        <v>0</v>
      </c>
      <c r="AI37" s="106">
        <f t="shared" ca="1" si="16"/>
        <v>0</v>
      </c>
      <c r="AJ37" s="78" cm="1">
        <f t="array" aca="1" ref="AJ37" ca="1">IF(AI$3="None",0,(INDIRECT("TABLE_WTL[@[" &amp; AJ$4 &amp; "]]")))</f>
        <v>0</v>
      </c>
      <c r="AK37" s="88">
        <f t="shared" ca="1" si="17"/>
        <v>0</v>
      </c>
      <c r="AL37" s="106">
        <f t="shared" ca="1" si="18"/>
        <v>0</v>
      </c>
      <c r="AM37" s="78" cm="1">
        <f t="array" aca="1" ref="AM37" ca="1">IF(AL$3="None",0,(INDIRECT("TABLE_WTL[@[" &amp; AM$4 &amp; "]]")))</f>
        <v>0</v>
      </c>
      <c r="AN37" s="88">
        <f t="shared" ca="1" si="19"/>
        <v>0</v>
      </c>
      <c r="AO37" s="106">
        <f t="shared" ca="1" si="20"/>
        <v>0</v>
      </c>
      <c r="AP37" s="78" cm="1">
        <f t="array" aca="1" ref="AP37" ca="1">IF(AO$3="None",0,(INDIRECT("TABLE_WTL[@[" &amp; AP$4 &amp; "]]")))</f>
        <v>0</v>
      </c>
      <c r="AQ37" s="89"/>
      <c r="AR37" s="109"/>
      <c r="AS37" s="113"/>
      <c r="AT37" s="113"/>
      <c r="AU37" s="113"/>
      <c r="AV37" s="113"/>
      <c r="AW37" s="113"/>
      <c r="AX37" s="114"/>
      <c r="AY37" s="89"/>
      <c r="AZ37" s="129"/>
      <c r="BA37" s="50"/>
      <c r="BB37" s="122"/>
      <c r="BC37" s="123"/>
      <c r="BD37" s="123"/>
      <c r="BE37" s="123"/>
      <c r="BF37" s="123"/>
      <c r="BG37" s="123"/>
      <c r="BH37" s="123"/>
      <c r="BI37" s="124"/>
      <c r="BJ37" s="50"/>
      <c r="BK37" s="80">
        <f>N37/ATP_Conditions!$C$8</f>
        <v>5.1428571428571432</v>
      </c>
    </row>
    <row r="38" spans="1:63" ht="15" thickBot="1" x14ac:dyDescent="0.4">
      <c r="A38" s="30">
        <f t="shared" si="21"/>
        <v>34</v>
      </c>
      <c r="B38" s="81">
        <f t="shared" si="0"/>
        <v>35</v>
      </c>
      <c r="C38" s="82">
        <f t="shared" si="22"/>
        <v>46258</v>
      </c>
      <c r="D38" s="83" t="str">
        <f t="shared" si="1"/>
        <v>35-2026</v>
      </c>
      <c r="E38" s="84" t="str">
        <f>_xlfn.IFNA(VLOOKUP(D38,Race_Calendar!D:F,2,FALSE),"-")</f>
        <v>-</v>
      </c>
      <c r="F38" s="81" t="str">
        <f>_xlfn.IFNA(VLOOKUP($D38,Race_Calendar!$D:$F,3,FALSE),"-")</f>
        <v>-</v>
      </c>
      <c r="G38" s="175" t="str">
        <f>_xlfn.IFNA(VLOOKUP($D38,Race_Calendar!$D:$G,4,FALSE),"-")</f>
        <v>-</v>
      </c>
      <c r="H38" s="85"/>
      <c r="I38" s="104" t="s">
        <v>74</v>
      </c>
      <c r="J38" s="200">
        <v>1</v>
      </c>
      <c r="K38" s="105" t="str">
        <f t="shared" si="23"/>
        <v>Build 2-1</v>
      </c>
      <c r="L38" s="86"/>
      <c r="M38" s="83"/>
      <c r="N38" s="87">
        <f>VLOOKUP(K38,ATP_Conditions!M:N,2,FALSE)</f>
        <v>620</v>
      </c>
      <c r="O38" s="30">
        <f ca="1">SUM(T38,W38,Z38,AC38,AF38,AI38,AL38,AO38)+ATP_Conditions!$C$7</f>
        <v>150</v>
      </c>
      <c r="P38" s="31">
        <f t="shared" ca="1" si="24"/>
        <v>150</v>
      </c>
      <c r="Q38" s="75">
        <f t="shared" ref="Q38:Q55" ca="1" si="25">O38-N38</f>
        <v>-470</v>
      </c>
      <c r="R38" s="76">
        <f t="shared" ca="1" si="4"/>
        <v>-470</v>
      </c>
      <c r="S38" s="88">
        <f t="shared" ca="1" si="5"/>
        <v>0</v>
      </c>
      <c r="T38" s="106">
        <f t="shared" ca="1" si="6"/>
        <v>0</v>
      </c>
      <c r="U38" s="78" cm="1">
        <f t="array" aca="1" ref="U38" ca="1">IF(T$3="None",0,(INDIRECT("TABLE_WTL[@[" &amp; U$4 &amp; "]]")))</f>
        <v>0</v>
      </c>
      <c r="V38" s="88">
        <f t="shared" ca="1" si="7"/>
        <v>0</v>
      </c>
      <c r="W38" s="106">
        <f t="shared" ca="1" si="8"/>
        <v>0</v>
      </c>
      <c r="X38" s="78" cm="1">
        <f t="array" aca="1" ref="X38" ca="1">IF(W$3="None",0,(INDIRECT("TABLE_WTL[@[" &amp; X$4 &amp; "]]")))</f>
        <v>0</v>
      </c>
      <c r="Y38" s="88">
        <f t="shared" ca="1" si="9"/>
        <v>0</v>
      </c>
      <c r="Z38" s="106">
        <f t="shared" ca="1" si="10"/>
        <v>0</v>
      </c>
      <c r="AA38" s="78" cm="1">
        <f t="array" aca="1" ref="AA38" ca="1">IF(Z$3="None",0,(INDIRECT("TABLE_WTL[@[" &amp; AA$4 &amp; "]]")))</f>
        <v>0</v>
      </c>
      <c r="AB38" s="88">
        <f t="shared" ca="1" si="11"/>
        <v>150</v>
      </c>
      <c r="AC38" s="106">
        <f t="shared" ca="1" si="12"/>
        <v>150</v>
      </c>
      <c r="AD38" s="78" cm="1">
        <f t="array" aca="1" ref="AD38" ca="1">IF(AC$3="None",0,(INDIRECT("TABLE_WTL[@[" &amp; AD$4 &amp; "]]")))</f>
        <v>150</v>
      </c>
      <c r="AE38" s="88">
        <f t="shared" ca="1" si="13"/>
        <v>0</v>
      </c>
      <c r="AF38" s="106">
        <f t="shared" ca="1" si="14"/>
        <v>0</v>
      </c>
      <c r="AG38" s="78" cm="1">
        <f t="array" aca="1" ref="AG38" ca="1">IF(AF$3="None",0,(INDIRECT("TABLE_WTL[@[" &amp; AG$4 &amp; "]]")))</f>
        <v>0</v>
      </c>
      <c r="AH38" s="88">
        <f t="shared" ca="1" si="15"/>
        <v>0</v>
      </c>
      <c r="AI38" s="106">
        <f t="shared" ca="1" si="16"/>
        <v>0</v>
      </c>
      <c r="AJ38" s="78" cm="1">
        <f t="array" aca="1" ref="AJ38" ca="1">IF(AI$3="None",0,(INDIRECT("TABLE_WTL[@[" &amp; AJ$4 &amp; "]]")))</f>
        <v>0</v>
      </c>
      <c r="AK38" s="88">
        <f t="shared" ca="1" si="17"/>
        <v>0</v>
      </c>
      <c r="AL38" s="106">
        <f t="shared" ca="1" si="18"/>
        <v>0</v>
      </c>
      <c r="AM38" s="78" cm="1">
        <f t="array" aca="1" ref="AM38" ca="1">IF(AL$3="None",0,(INDIRECT("TABLE_WTL[@[" &amp; AM$4 &amp; "]]")))</f>
        <v>0</v>
      </c>
      <c r="AN38" s="88">
        <f t="shared" ca="1" si="19"/>
        <v>0</v>
      </c>
      <c r="AO38" s="106">
        <f t="shared" ca="1" si="20"/>
        <v>0</v>
      </c>
      <c r="AP38" s="78" cm="1">
        <f t="array" aca="1" ref="AP38" ca="1">IF(AO$3="None",0,(INDIRECT("TABLE_WTL[@[" &amp; AP$4 &amp; "]]")))</f>
        <v>0</v>
      </c>
      <c r="AQ38" s="89"/>
      <c r="AR38" s="109"/>
      <c r="AS38" s="113"/>
      <c r="AT38" s="113"/>
      <c r="AU38" s="113"/>
      <c r="AV38" s="113"/>
      <c r="AW38" s="113"/>
      <c r="AX38" s="114"/>
      <c r="AY38" s="89"/>
      <c r="AZ38" s="129"/>
      <c r="BA38" s="50"/>
      <c r="BB38" s="122"/>
      <c r="BC38" s="123"/>
      <c r="BD38" s="123"/>
      <c r="BE38" s="123"/>
      <c r="BF38" s="123"/>
      <c r="BG38" s="123"/>
      <c r="BH38" s="123"/>
      <c r="BI38" s="124"/>
      <c r="BJ38" s="50"/>
      <c r="BK38" s="80">
        <f>N38/ATP_Conditions!$C$8</f>
        <v>8.8571428571428577</v>
      </c>
    </row>
    <row r="39" spans="1:63" ht="15" thickBot="1" x14ac:dyDescent="0.4">
      <c r="A39" s="30">
        <f t="shared" si="21"/>
        <v>35</v>
      </c>
      <c r="B39" s="81">
        <f t="shared" si="0"/>
        <v>36</v>
      </c>
      <c r="C39" s="82">
        <f t="shared" si="22"/>
        <v>46265</v>
      </c>
      <c r="D39" s="83" t="str">
        <f t="shared" si="1"/>
        <v>36-2026</v>
      </c>
      <c r="E39" s="84" t="str">
        <f>_xlfn.IFNA(VLOOKUP(D39,Race_Calendar!D:F,2,FALSE),"-")</f>
        <v>-</v>
      </c>
      <c r="F39" s="81" t="str">
        <f>_xlfn.IFNA(VLOOKUP($D39,Race_Calendar!$D:$F,3,FALSE),"-")</f>
        <v>-</v>
      </c>
      <c r="G39" s="175" t="str">
        <f>_xlfn.IFNA(VLOOKUP($D39,Race_Calendar!$D:$G,4,FALSE),"-")</f>
        <v>-</v>
      </c>
      <c r="H39" s="85"/>
      <c r="I39" s="104" t="s">
        <v>74</v>
      </c>
      <c r="J39" s="200">
        <v>2</v>
      </c>
      <c r="K39" s="105" t="str">
        <f t="shared" si="23"/>
        <v>Build 2-2</v>
      </c>
      <c r="L39" s="86"/>
      <c r="M39" s="83"/>
      <c r="N39" s="87">
        <f>VLOOKUP(K39,ATP_Conditions!M:N,2,FALSE)</f>
        <v>620</v>
      </c>
      <c r="O39" s="30">
        <f ca="1">SUM(T39,W39,Z39,AC39,AF39,AI39,AL39,AO39)+ATP_Conditions!$C$7</f>
        <v>150</v>
      </c>
      <c r="P39" s="31">
        <f t="shared" ca="1" si="24"/>
        <v>150</v>
      </c>
      <c r="Q39" s="75">
        <f t="shared" ca="1" si="25"/>
        <v>-470</v>
      </c>
      <c r="R39" s="76">
        <f t="shared" ca="1" si="4"/>
        <v>-470</v>
      </c>
      <c r="S39" s="88">
        <f t="shared" ca="1" si="5"/>
        <v>0</v>
      </c>
      <c r="T39" s="106">
        <f t="shared" ca="1" si="6"/>
        <v>0</v>
      </c>
      <c r="U39" s="78" cm="1">
        <f t="array" aca="1" ref="U39" ca="1">IF(T$3="None",0,(INDIRECT("TABLE_WTL[@[" &amp; U$4 &amp; "]]")))</f>
        <v>0</v>
      </c>
      <c r="V39" s="88">
        <f t="shared" ca="1" si="7"/>
        <v>0</v>
      </c>
      <c r="W39" s="106">
        <f t="shared" ca="1" si="8"/>
        <v>0</v>
      </c>
      <c r="X39" s="78" cm="1">
        <f t="array" aca="1" ref="X39" ca="1">IF(W$3="None",0,(INDIRECT("TABLE_WTL[@[" &amp; X$4 &amp; "]]")))</f>
        <v>0</v>
      </c>
      <c r="Y39" s="88">
        <f t="shared" ca="1" si="9"/>
        <v>0</v>
      </c>
      <c r="Z39" s="106">
        <f t="shared" ca="1" si="10"/>
        <v>0</v>
      </c>
      <c r="AA39" s="78" cm="1">
        <f t="array" aca="1" ref="AA39" ca="1">IF(Z$3="None",0,(INDIRECT("TABLE_WTL[@[" &amp; AA$4 &amp; "]]")))</f>
        <v>0</v>
      </c>
      <c r="AB39" s="88">
        <f t="shared" ca="1" si="11"/>
        <v>150</v>
      </c>
      <c r="AC39" s="106">
        <f t="shared" ca="1" si="12"/>
        <v>150</v>
      </c>
      <c r="AD39" s="78" cm="1">
        <f t="array" aca="1" ref="AD39" ca="1">IF(AC$3="None",0,(INDIRECT("TABLE_WTL[@[" &amp; AD$4 &amp; "]]")))</f>
        <v>150</v>
      </c>
      <c r="AE39" s="88">
        <f t="shared" ca="1" si="13"/>
        <v>0</v>
      </c>
      <c r="AF39" s="106">
        <f t="shared" ca="1" si="14"/>
        <v>0</v>
      </c>
      <c r="AG39" s="78" cm="1">
        <f t="array" aca="1" ref="AG39" ca="1">IF(AF$3="None",0,(INDIRECT("TABLE_WTL[@[" &amp; AG$4 &amp; "]]")))</f>
        <v>0</v>
      </c>
      <c r="AH39" s="88">
        <f t="shared" ca="1" si="15"/>
        <v>0</v>
      </c>
      <c r="AI39" s="106">
        <f t="shared" ca="1" si="16"/>
        <v>0</v>
      </c>
      <c r="AJ39" s="78" cm="1">
        <f t="array" aca="1" ref="AJ39" ca="1">IF(AI$3="None",0,(INDIRECT("TABLE_WTL[@[" &amp; AJ$4 &amp; "]]")))</f>
        <v>0</v>
      </c>
      <c r="AK39" s="88">
        <f t="shared" ca="1" si="17"/>
        <v>0</v>
      </c>
      <c r="AL39" s="106">
        <f t="shared" ca="1" si="18"/>
        <v>0</v>
      </c>
      <c r="AM39" s="78" cm="1">
        <f t="array" aca="1" ref="AM39" ca="1">IF(AL$3="None",0,(INDIRECT("TABLE_WTL[@[" &amp; AM$4 &amp; "]]")))</f>
        <v>0</v>
      </c>
      <c r="AN39" s="88">
        <f t="shared" ca="1" si="19"/>
        <v>0</v>
      </c>
      <c r="AO39" s="106">
        <f t="shared" ca="1" si="20"/>
        <v>0</v>
      </c>
      <c r="AP39" s="78" cm="1">
        <f t="array" aca="1" ref="AP39" ca="1">IF(AO$3="None",0,(INDIRECT("TABLE_WTL[@[" &amp; AP$4 &amp; "]]")))</f>
        <v>0</v>
      </c>
      <c r="AQ39" s="89"/>
      <c r="AR39" s="109"/>
      <c r="AS39" s="113"/>
      <c r="AT39" s="113"/>
      <c r="AU39" s="113"/>
      <c r="AV39" s="113"/>
      <c r="AW39" s="113"/>
      <c r="AX39" s="114"/>
      <c r="AY39" s="89"/>
      <c r="AZ39" s="129"/>
      <c r="BA39" s="50"/>
      <c r="BB39" s="122"/>
      <c r="BC39" s="123"/>
      <c r="BD39" s="123"/>
      <c r="BE39" s="123"/>
      <c r="BF39" s="123"/>
      <c r="BG39" s="123"/>
      <c r="BH39" s="123"/>
      <c r="BI39" s="124"/>
      <c r="BJ39" s="50"/>
      <c r="BK39" s="80">
        <f>N39/ATP_Conditions!$C$8</f>
        <v>8.8571428571428577</v>
      </c>
    </row>
    <row r="40" spans="1:63" ht="15" thickBot="1" x14ac:dyDescent="0.4">
      <c r="A40" s="30">
        <f t="shared" si="21"/>
        <v>36</v>
      </c>
      <c r="B40" s="81">
        <f t="shared" si="0"/>
        <v>37</v>
      </c>
      <c r="C40" s="82">
        <f t="shared" si="22"/>
        <v>46272</v>
      </c>
      <c r="D40" s="83" t="str">
        <f t="shared" si="1"/>
        <v>37-2026</v>
      </c>
      <c r="E40" s="84" t="str">
        <f>_xlfn.IFNA(VLOOKUP(D40,Race_Calendar!D:F,2,FALSE),"-")</f>
        <v>-</v>
      </c>
      <c r="F40" s="81" t="str">
        <f>_xlfn.IFNA(VLOOKUP($D40,Race_Calendar!$D:$F,3,FALSE),"-")</f>
        <v>-</v>
      </c>
      <c r="G40" s="175" t="str">
        <f>_xlfn.IFNA(VLOOKUP($D40,Race_Calendar!$D:$G,4,FALSE),"-")</f>
        <v>-</v>
      </c>
      <c r="H40" s="85"/>
      <c r="I40" s="104" t="s">
        <v>4</v>
      </c>
      <c r="J40" s="200">
        <v>1</v>
      </c>
      <c r="K40" s="105" t="str">
        <f t="shared" si="23"/>
        <v>Peak-1</v>
      </c>
      <c r="L40" s="86"/>
      <c r="M40" s="83"/>
      <c r="N40" s="87">
        <f>VLOOKUP(K40,ATP_Conditions!M:N,2,FALSE)</f>
        <v>440</v>
      </c>
      <c r="O40" s="30">
        <f ca="1">SUM(T40,W40,Z40,AC40,AF40,AI40,AL40,AO40)+ATP_Conditions!$C$7</f>
        <v>150</v>
      </c>
      <c r="P40" s="31">
        <f t="shared" ca="1" si="24"/>
        <v>150</v>
      </c>
      <c r="Q40" s="75">
        <f t="shared" ca="1" si="25"/>
        <v>-290</v>
      </c>
      <c r="R40" s="76">
        <f t="shared" ca="1" si="4"/>
        <v>-290</v>
      </c>
      <c r="S40" s="88">
        <f t="shared" ca="1" si="5"/>
        <v>0</v>
      </c>
      <c r="T40" s="106">
        <f t="shared" ca="1" si="6"/>
        <v>0</v>
      </c>
      <c r="U40" s="78" cm="1">
        <f t="array" aca="1" ref="U40" ca="1">IF(T$3="None",0,(INDIRECT("TABLE_WTL[@[" &amp; U$4 &amp; "]]")))</f>
        <v>0</v>
      </c>
      <c r="V40" s="88">
        <f t="shared" ca="1" si="7"/>
        <v>0</v>
      </c>
      <c r="W40" s="106">
        <f t="shared" ca="1" si="8"/>
        <v>0</v>
      </c>
      <c r="X40" s="78" cm="1">
        <f t="array" aca="1" ref="X40" ca="1">IF(W$3="None",0,(INDIRECT("TABLE_WTL[@[" &amp; X$4 &amp; "]]")))</f>
        <v>0</v>
      </c>
      <c r="Y40" s="88">
        <f t="shared" ca="1" si="9"/>
        <v>0</v>
      </c>
      <c r="Z40" s="106">
        <f t="shared" ca="1" si="10"/>
        <v>0</v>
      </c>
      <c r="AA40" s="78" cm="1">
        <f t="array" aca="1" ref="AA40" ca="1">IF(Z$3="None",0,(INDIRECT("TABLE_WTL[@[" &amp; AA$4 &amp; "]]")))</f>
        <v>0</v>
      </c>
      <c r="AB40" s="88">
        <f t="shared" ca="1" si="11"/>
        <v>150</v>
      </c>
      <c r="AC40" s="106">
        <f t="shared" ca="1" si="12"/>
        <v>150</v>
      </c>
      <c r="AD40" s="78" cm="1">
        <f t="array" aca="1" ref="AD40" ca="1">IF(AC$3="None",0,(INDIRECT("TABLE_WTL[@[" &amp; AD$4 &amp; "]]")))</f>
        <v>150</v>
      </c>
      <c r="AE40" s="88">
        <f t="shared" ca="1" si="13"/>
        <v>0</v>
      </c>
      <c r="AF40" s="106">
        <f t="shared" ca="1" si="14"/>
        <v>0</v>
      </c>
      <c r="AG40" s="78" cm="1">
        <f t="array" aca="1" ref="AG40" ca="1">IF(AF$3="None",0,(INDIRECT("TABLE_WTL[@[" &amp; AG$4 &amp; "]]")))</f>
        <v>0</v>
      </c>
      <c r="AH40" s="88">
        <f t="shared" ca="1" si="15"/>
        <v>0</v>
      </c>
      <c r="AI40" s="106">
        <f t="shared" ca="1" si="16"/>
        <v>0</v>
      </c>
      <c r="AJ40" s="78" cm="1">
        <f t="array" aca="1" ref="AJ40" ca="1">IF(AI$3="None",0,(INDIRECT("TABLE_WTL[@[" &amp; AJ$4 &amp; "]]")))</f>
        <v>0</v>
      </c>
      <c r="AK40" s="88">
        <f t="shared" ca="1" si="17"/>
        <v>0</v>
      </c>
      <c r="AL40" s="106">
        <f t="shared" ca="1" si="18"/>
        <v>0</v>
      </c>
      <c r="AM40" s="78" cm="1">
        <f t="array" aca="1" ref="AM40" ca="1">IF(AL$3="None",0,(INDIRECT("TABLE_WTL[@[" &amp; AM$4 &amp; "]]")))</f>
        <v>0</v>
      </c>
      <c r="AN40" s="88">
        <f t="shared" ca="1" si="19"/>
        <v>0</v>
      </c>
      <c r="AO40" s="106">
        <f t="shared" ca="1" si="20"/>
        <v>0</v>
      </c>
      <c r="AP40" s="78" cm="1">
        <f t="array" aca="1" ref="AP40" ca="1">IF(AO$3="None",0,(INDIRECT("TABLE_WTL[@[" &amp; AP$4 &amp; "]]")))</f>
        <v>0</v>
      </c>
      <c r="AQ40" s="89"/>
      <c r="AR40" s="109"/>
      <c r="AS40" s="113"/>
      <c r="AT40" s="113"/>
      <c r="AU40" s="113"/>
      <c r="AV40" s="113"/>
      <c r="AW40" s="113"/>
      <c r="AX40" s="114"/>
      <c r="AY40" s="89"/>
      <c r="AZ40" s="129"/>
      <c r="BA40" s="50"/>
      <c r="BB40" s="122"/>
      <c r="BC40" s="123"/>
      <c r="BD40" s="123"/>
      <c r="BE40" s="123"/>
      <c r="BF40" s="123"/>
      <c r="BG40" s="123"/>
      <c r="BH40" s="123"/>
      <c r="BI40" s="124"/>
      <c r="BJ40" s="50"/>
      <c r="BK40" s="80">
        <f>N40/ATP_Conditions!$C$8</f>
        <v>6.2857142857142856</v>
      </c>
    </row>
    <row r="41" spans="1:63" ht="15" thickBot="1" x14ac:dyDescent="0.4">
      <c r="A41" s="30">
        <f t="shared" si="21"/>
        <v>37</v>
      </c>
      <c r="B41" s="81">
        <f t="shared" si="0"/>
        <v>38</v>
      </c>
      <c r="C41" s="82">
        <f t="shared" si="22"/>
        <v>46279</v>
      </c>
      <c r="D41" s="83" t="str">
        <f t="shared" si="1"/>
        <v>38-2026</v>
      </c>
      <c r="E41" s="84" t="str">
        <f>_xlfn.IFNA(VLOOKUP(D41,Race_Calendar!D:F,2,FALSE),"-")</f>
        <v>Heuvelrug Triathlon</v>
      </c>
      <c r="F41" s="81" t="str">
        <f>_xlfn.IFNA(VLOOKUP($D41,Race_Calendar!$D:$F,3,FALSE),"-")</f>
        <v>A</v>
      </c>
      <c r="G41" s="175">
        <f>_xlfn.IFNA(VLOOKUP($D41,Race_Calendar!$D:$G,4,FALSE),"-")</f>
        <v>46284</v>
      </c>
      <c r="H41" s="85"/>
      <c r="I41" s="104" t="s">
        <v>1</v>
      </c>
      <c r="J41" s="200"/>
      <c r="K41" s="105" t="str">
        <f t="shared" si="23"/>
        <v>Race</v>
      </c>
      <c r="L41" s="86"/>
      <c r="M41" s="83"/>
      <c r="N41" s="87">
        <f>VLOOKUP(K41,ATP_Conditions!M:N,2,FALSE)</f>
        <v>360</v>
      </c>
      <c r="O41" s="30">
        <f ca="1">SUM(T41,W41,Z41,AC41,AF41,AI41,AL41,AO41)+ATP_Conditions!$C$7</f>
        <v>0</v>
      </c>
      <c r="P41" s="31">
        <f t="shared" ca="1" si="24"/>
        <v>0</v>
      </c>
      <c r="Q41" s="75">
        <f t="shared" ca="1" si="25"/>
        <v>-360</v>
      </c>
      <c r="R41" s="76">
        <f t="shared" ca="1" si="4"/>
        <v>-360</v>
      </c>
      <c r="S41" s="88">
        <f t="shared" ca="1" si="5"/>
        <v>0</v>
      </c>
      <c r="T41" s="106">
        <f t="shared" ca="1" si="6"/>
        <v>0</v>
      </c>
      <c r="U41" s="78" cm="1">
        <f t="array" aca="1" ref="U41" ca="1">IF(T$3="None",0,(INDIRECT("TABLE_WTL[@[" &amp; U$4 &amp; "]]")))</f>
        <v>0</v>
      </c>
      <c r="V41" s="88">
        <f t="shared" ca="1" si="7"/>
        <v>0</v>
      </c>
      <c r="W41" s="106">
        <f t="shared" ca="1" si="8"/>
        <v>0</v>
      </c>
      <c r="X41" s="78" cm="1">
        <f t="array" aca="1" ref="X41" ca="1">IF(W$3="None",0,(INDIRECT("TABLE_WTL[@[" &amp; X$4 &amp; "]]")))</f>
        <v>0</v>
      </c>
      <c r="Y41" s="88">
        <f t="shared" ca="1" si="9"/>
        <v>0</v>
      </c>
      <c r="Z41" s="106">
        <f t="shared" ca="1" si="10"/>
        <v>0</v>
      </c>
      <c r="AA41" s="78" cm="1">
        <f t="array" aca="1" ref="AA41" ca="1">IF(Z$3="None",0,(INDIRECT("TABLE_WTL[@[" &amp; AA$4 &amp; "]]")))</f>
        <v>0</v>
      </c>
      <c r="AB41" s="88">
        <f t="shared" ca="1" si="11"/>
        <v>0</v>
      </c>
      <c r="AC41" s="106">
        <f t="shared" ca="1" si="12"/>
        <v>0</v>
      </c>
      <c r="AD41" s="78" cm="1">
        <f t="array" aca="1" ref="AD41" ca="1">IF(AC$3="None",0,(INDIRECT("TABLE_WTL[@[" &amp; AD$4 &amp; "]]")))</f>
        <v>0</v>
      </c>
      <c r="AE41" s="88">
        <f t="shared" ca="1" si="13"/>
        <v>0</v>
      </c>
      <c r="AF41" s="106">
        <f t="shared" ca="1" si="14"/>
        <v>0</v>
      </c>
      <c r="AG41" s="78" cm="1">
        <f t="array" aca="1" ref="AG41" ca="1">IF(AF$3="None",0,(INDIRECT("TABLE_WTL[@[" &amp; AG$4 &amp; "]]")))</f>
        <v>0</v>
      </c>
      <c r="AH41" s="88">
        <f t="shared" ca="1" si="15"/>
        <v>0</v>
      </c>
      <c r="AI41" s="106">
        <f t="shared" ca="1" si="16"/>
        <v>0</v>
      </c>
      <c r="AJ41" s="78" cm="1">
        <f t="array" aca="1" ref="AJ41" ca="1">IF(AI$3="None",0,(INDIRECT("TABLE_WTL[@[" &amp; AJ$4 &amp; "]]")))</f>
        <v>0</v>
      </c>
      <c r="AK41" s="88">
        <f t="shared" ca="1" si="17"/>
        <v>0</v>
      </c>
      <c r="AL41" s="106">
        <f t="shared" ca="1" si="18"/>
        <v>0</v>
      </c>
      <c r="AM41" s="78" cm="1">
        <f t="array" aca="1" ref="AM41" ca="1">IF(AL$3="None",0,(INDIRECT("TABLE_WTL[@[" &amp; AM$4 &amp; "]]")))</f>
        <v>0</v>
      </c>
      <c r="AN41" s="88">
        <f t="shared" ca="1" si="19"/>
        <v>0</v>
      </c>
      <c r="AO41" s="106">
        <f t="shared" ca="1" si="20"/>
        <v>0</v>
      </c>
      <c r="AP41" s="78" cm="1">
        <f t="array" aca="1" ref="AP41" ca="1">IF(AO$3="None",0,(INDIRECT("TABLE_WTL[@[" &amp; AP$4 &amp; "]]")))</f>
        <v>0</v>
      </c>
      <c r="AQ41" s="89"/>
      <c r="AR41" s="109"/>
      <c r="AS41" s="113"/>
      <c r="AT41" s="113"/>
      <c r="AU41" s="113"/>
      <c r="AV41" s="113"/>
      <c r="AW41" s="113"/>
      <c r="AX41" s="114"/>
      <c r="AY41" s="89"/>
      <c r="AZ41" s="129"/>
      <c r="BA41" s="50"/>
      <c r="BB41" s="122"/>
      <c r="BC41" s="123"/>
      <c r="BD41" s="123"/>
      <c r="BE41" s="123"/>
      <c r="BF41" s="123"/>
      <c r="BG41" s="123"/>
      <c r="BH41" s="123"/>
      <c r="BI41" s="124"/>
      <c r="BJ41" s="50"/>
      <c r="BK41" s="80">
        <f>N41/ATP_Conditions!$C$8</f>
        <v>5.1428571428571432</v>
      </c>
    </row>
    <row r="42" spans="1:63" ht="15" thickBot="1" x14ac:dyDescent="0.4">
      <c r="A42" s="30">
        <f t="shared" si="21"/>
        <v>38</v>
      </c>
      <c r="B42" s="81">
        <f t="shared" si="0"/>
        <v>39</v>
      </c>
      <c r="C42" s="82">
        <f t="shared" si="22"/>
        <v>46286</v>
      </c>
      <c r="D42" s="83" t="str">
        <f t="shared" si="1"/>
        <v>39-2026</v>
      </c>
      <c r="E42" s="84" t="str">
        <f>_xlfn.IFNA(VLOOKUP(D42,Race_Calendar!D:F,2,FALSE),"-")</f>
        <v>-</v>
      </c>
      <c r="F42" s="81" t="str">
        <f>_xlfn.IFNA(VLOOKUP($D42,Race_Calendar!$D:$F,3,FALSE),"-")</f>
        <v>-</v>
      </c>
      <c r="G42" s="175" t="str">
        <f>_xlfn.IFNA(VLOOKUP($D42,Race_Calendar!$D:$G,4,FALSE),"-")</f>
        <v>-</v>
      </c>
      <c r="H42" s="85"/>
      <c r="I42" s="104" t="s">
        <v>77</v>
      </c>
      <c r="J42" s="200">
        <v>1</v>
      </c>
      <c r="K42" s="105" t="str">
        <f t="shared" si="23"/>
        <v>Trans</v>
      </c>
      <c r="L42" s="86"/>
      <c r="M42" s="83"/>
      <c r="N42" s="87">
        <f>VLOOKUP(K42,ATP_Conditions!M:N,2,FALSE)</f>
        <v>230</v>
      </c>
      <c r="O42" s="30">
        <f ca="1">SUM(T42,W42,Z42,AC42,AF42,AI42,AL42,AO42)+ATP_Conditions!$C$7</f>
        <v>0</v>
      </c>
      <c r="P42" s="31">
        <f t="shared" ca="1" si="24"/>
        <v>0</v>
      </c>
      <c r="Q42" s="75">
        <f t="shared" ca="1" si="25"/>
        <v>-230</v>
      </c>
      <c r="R42" s="76">
        <f t="shared" ca="1" si="4"/>
        <v>-230</v>
      </c>
      <c r="S42" s="88">
        <f t="shared" ca="1" si="5"/>
        <v>0</v>
      </c>
      <c r="T42" s="106">
        <f t="shared" ca="1" si="6"/>
        <v>0</v>
      </c>
      <c r="U42" s="78" cm="1">
        <f t="array" aca="1" ref="U42" ca="1">IF(T$3="None",0,(INDIRECT("TABLE_WTL[@[" &amp; U$4 &amp; "]]")))</f>
        <v>0</v>
      </c>
      <c r="V42" s="88">
        <f t="shared" ca="1" si="7"/>
        <v>0</v>
      </c>
      <c r="W42" s="106">
        <f t="shared" ca="1" si="8"/>
        <v>0</v>
      </c>
      <c r="X42" s="78" cm="1">
        <f t="array" aca="1" ref="X42" ca="1">IF(W$3="None",0,(INDIRECT("TABLE_WTL[@[" &amp; X$4 &amp; "]]")))</f>
        <v>0</v>
      </c>
      <c r="Y42" s="88">
        <f t="shared" ca="1" si="9"/>
        <v>0</v>
      </c>
      <c r="Z42" s="106">
        <f t="shared" ca="1" si="10"/>
        <v>0</v>
      </c>
      <c r="AA42" s="78" cm="1">
        <f t="array" aca="1" ref="AA42" ca="1">IF(Z$3="None",0,(INDIRECT("TABLE_WTL[@[" &amp; AA$4 &amp; "]]")))</f>
        <v>0</v>
      </c>
      <c r="AB42" s="88">
        <f t="shared" ca="1" si="11"/>
        <v>0</v>
      </c>
      <c r="AC42" s="106">
        <f t="shared" ca="1" si="12"/>
        <v>0</v>
      </c>
      <c r="AD42" s="78" cm="1">
        <f t="array" aca="1" ref="AD42" ca="1">IF(AC$3="None",0,(INDIRECT("TABLE_WTL[@[" &amp; AD$4 &amp; "]]")))</f>
        <v>0</v>
      </c>
      <c r="AE42" s="88">
        <f t="shared" ca="1" si="13"/>
        <v>0</v>
      </c>
      <c r="AF42" s="106">
        <f t="shared" ca="1" si="14"/>
        <v>0</v>
      </c>
      <c r="AG42" s="78" cm="1">
        <f t="array" aca="1" ref="AG42" ca="1">IF(AF$3="None",0,(INDIRECT("TABLE_WTL[@[" &amp; AG$4 &amp; "]]")))</f>
        <v>0</v>
      </c>
      <c r="AH42" s="88">
        <f t="shared" ca="1" si="15"/>
        <v>0</v>
      </c>
      <c r="AI42" s="106">
        <f t="shared" ca="1" si="16"/>
        <v>0</v>
      </c>
      <c r="AJ42" s="78" cm="1">
        <f t="array" aca="1" ref="AJ42" ca="1">IF(AI$3="None",0,(INDIRECT("TABLE_WTL[@[" &amp; AJ$4 &amp; "]]")))</f>
        <v>0</v>
      </c>
      <c r="AK42" s="88">
        <f t="shared" ca="1" si="17"/>
        <v>0</v>
      </c>
      <c r="AL42" s="106">
        <f t="shared" ca="1" si="18"/>
        <v>0</v>
      </c>
      <c r="AM42" s="78" cm="1">
        <f t="array" aca="1" ref="AM42" ca="1">IF(AL$3="None",0,(INDIRECT("TABLE_WTL[@[" &amp; AM$4 &amp; "]]")))</f>
        <v>0</v>
      </c>
      <c r="AN42" s="88">
        <f t="shared" ca="1" si="19"/>
        <v>0</v>
      </c>
      <c r="AO42" s="106">
        <f t="shared" ca="1" si="20"/>
        <v>0</v>
      </c>
      <c r="AP42" s="78" cm="1">
        <f t="array" aca="1" ref="AP42" ca="1">IF(AO$3="None",0,(INDIRECT("TABLE_WTL[@[" &amp; AP$4 &amp; "]]")))</f>
        <v>0</v>
      </c>
      <c r="AQ42" s="89"/>
      <c r="AR42" s="109"/>
      <c r="AS42" s="113"/>
      <c r="AT42" s="113"/>
      <c r="AU42" s="113"/>
      <c r="AV42" s="113"/>
      <c r="AW42" s="113"/>
      <c r="AX42" s="114"/>
      <c r="AY42" s="89"/>
      <c r="AZ42" s="129"/>
      <c r="BA42" s="50"/>
      <c r="BB42" s="122"/>
      <c r="BC42" s="123"/>
      <c r="BD42" s="123"/>
      <c r="BE42" s="123"/>
      <c r="BF42" s="123"/>
      <c r="BG42" s="123"/>
      <c r="BH42" s="123"/>
      <c r="BI42" s="124"/>
      <c r="BJ42" s="50"/>
      <c r="BK42" s="80">
        <f>N42/ATP_Conditions!$C$8</f>
        <v>3.2857142857142856</v>
      </c>
    </row>
    <row r="43" spans="1:63" ht="15" thickBot="1" x14ac:dyDescent="0.4">
      <c r="A43" s="30">
        <f t="shared" si="21"/>
        <v>39</v>
      </c>
      <c r="B43" s="81">
        <f t="shared" si="0"/>
        <v>40</v>
      </c>
      <c r="C43" s="82">
        <f t="shared" si="22"/>
        <v>46293</v>
      </c>
      <c r="D43" s="83" t="str">
        <f t="shared" si="1"/>
        <v>40-2026</v>
      </c>
      <c r="E43" s="84" t="str">
        <f>_xlfn.IFNA(VLOOKUP(D43,Race_Calendar!D:F,2,FALSE),"-")</f>
        <v>-</v>
      </c>
      <c r="F43" s="81" t="str">
        <f>_xlfn.IFNA(VLOOKUP($D43,Race_Calendar!$D:$F,3,FALSE),"-")</f>
        <v>-</v>
      </c>
      <c r="G43" s="175" t="str">
        <f>_xlfn.IFNA(VLOOKUP($D43,Race_Calendar!$D:$G,4,FALSE),"-")</f>
        <v>-</v>
      </c>
      <c r="H43" s="85"/>
      <c r="I43" s="104" t="s">
        <v>77</v>
      </c>
      <c r="J43" s="200"/>
      <c r="K43" s="105" t="str">
        <f t="shared" si="23"/>
        <v>Trans</v>
      </c>
      <c r="L43" s="86"/>
      <c r="M43" s="83"/>
      <c r="N43" s="87">
        <f>VLOOKUP(K43,ATP_Conditions!M:N,2,FALSE)</f>
        <v>230</v>
      </c>
      <c r="O43" s="30">
        <f ca="1">SUM(T43,W43,Z43,AC43,AF43,AI43,AL43,AO43)+ATP_Conditions!$C$7</f>
        <v>0</v>
      </c>
      <c r="P43" s="31">
        <f t="shared" ca="1" si="24"/>
        <v>0</v>
      </c>
      <c r="Q43" s="75">
        <f t="shared" ca="1" si="25"/>
        <v>-230</v>
      </c>
      <c r="R43" s="76">
        <f t="shared" ca="1" si="4"/>
        <v>-230</v>
      </c>
      <c r="S43" s="88">
        <f t="shared" ca="1" si="5"/>
        <v>0</v>
      </c>
      <c r="T43" s="106">
        <f t="shared" ca="1" si="6"/>
        <v>0</v>
      </c>
      <c r="U43" s="78" cm="1">
        <f t="array" aca="1" ref="U43" ca="1">IF(T$3="None",0,(INDIRECT("TABLE_WTL[@[" &amp; U$4 &amp; "]]")))</f>
        <v>0</v>
      </c>
      <c r="V43" s="88">
        <f t="shared" ca="1" si="7"/>
        <v>0</v>
      </c>
      <c r="W43" s="106">
        <f t="shared" ca="1" si="8"/>
        <v>0</v>
      </c>
      <c r="X43" s="78" cm="1">
        <f t="array" aca="1" ref="X43" ca="1">IF(W$3="None",0,(INDIRECT("TABLE_WTL[@[" &amp; X$4 &amp; "]]")))</f>
        <v>0</v>
      </c>
      <c r="Y43" s="88">
        <f t="shared" ca="1" si="9"/>
        <v>0</v>
      </c>
      <c r="Z43" s="106">
        <f t="shared" ca="1" si="10"/>
        <v>0</v>
      </c>
      <c r="AA43" s="78" cm="1">
        <f t="array" aca="1" ref="AA43" ca="1">IF(Z$3="None",0,(INDIRECT("TABLE_WTL[@[" &amp; AA$4 &amp; "]]")))</f>
        <v>0</v>
      </c>
      <c r="AB43" s="88">
        <f t="shared" ca="1" si="11"/>
        <v>0</v>
      </c>
      <c r="AC43" s="106">
        <f t="shared" ca="1" si="12"/>
        <v>0</v>
      </c>
      <c r="AD43" s="78" cm="1">
        <f t="array" aca="1" ref="AD43" ca="1">IF(AC$3="None",0,(INDIRECT("TABLE_WTL[@[" &amp; AD$4 &amp; "]]")))</f>
        <v>0</v>
      </c>
      <c r="AE43" s="88">
        <f t="shared" ca="1" si="13"/>
        <v>0</v>
      </c>
      <c r="AF43" s="106">
        <f t="shared" ca="1" si="14"/>
        <v>0</v>
      </c>
      <c r="AG43" s="78" cm="1">
        <f t="array" aca="1" ref="AG43" ca="1">IF(AF$3="None",0,(INDIRECT("TABLE_WTL[@[" &amp; AG$4 &amp; "]]")))</f>
        <v>0</v>
      </c>
      <c r="AH43" s="88">
        <f t="shared" ca="1" si="15"/>
        <v>0</v>
      </c>
      <c r="AI43" s="106">
        <f t="shared" ca="1" si="16"/>
        <v>0</v>
      </c>
      <c r="AJ43" s="78" cm="1">
        <f t="array" aca="1" ref="AJ43" ca="1">IF(AI$3="None",0,(INDIRECT("TABLE_WTL[@[" &amp; AJ$4 &amp; "]]")))</f>
        <v>0</v>
      </c>
      <c r="AK43" s="88">
        <f t="shared" ca="1" si="17"/>
        <v>0</v>
      </c>
      <c r="AL43" s="106">
        <f t="shared" ca="1" si="18"/>
        <v>0</v>
      </c>
      <c r="AM43" s="78" cm="1">
        <f t="array" aca="1" ref="AM43" ca="1">IF(AL$3="None",0,(INDIRECT("TABLE_WTL[@[" &amp; AM$4 &amp; "]]")))</f>
        <v>0</v>
      </c>
      <c r="AN43" s="88">
        <f t="shared" ca="1" si="19"/>
        <v>0</v>
      </c>
      <c r="AO43" s="106">
        <f t="shared" ca="1" si="20"/>
        <v>0</v>
      </c>
      <c r="AP43" s="78" cm="1">
        <f t="array" aca="1" ref="AP43" ca="1">IF(AO$3="None",0,(INDIRECT("TABLE_WTL[@[" &amp; AP$4 &amp; "]]")))</f>
        <v>0</v>
      </c>
      <c r="AQ43" s="89"/>
      <c r="AR43" s="109"/>
      <c r="AS43" s="113"/>
      <c r="AT43" s="113"/>
      <c r="AU43" s="113"/>
      <c r="AV43" s="113"/>
      <c r="AW43" s="113"/>
      <c r="AX43" s="114"/>
      <c r="AY43" s="89"/>
      <c r="AZ43" s="129"/>
      <c r="BA43" s="50"/>
      <c r="BB43" s="122"/>
      <c r="BC43" s="123"/>
      <c r="BD43" s="123"/>
      <c r="BE43" s="123"/>
      <c r="BF43" s="123"/>
      <c r="BG43" s="123"/>
      <c r="BH43" s="123"/>
      <c r="BI43" s="124"/>
      <c r="BJ43" s="50"/>
      <c r="BK43" s="80">
        <f>N43/ATP_Conditions!$C$8</f>
        <v>3.2857142857142856</v>
      </c>
    </row>
    <row r="44" spans="1:63" ht="15" thickBot="1" x14ac:dyDescent="0.4">
      <c r="A44" s="30">
        <f t="shared" si="21"/>
        <v>40</v>
      </c>
      <c r="B44" s="81">
        <f t="shared" si="0"/>
        <v>41</v>
      </c>
      <c r="C44" s="82">
        <f t="shared" si="22"/>
        <v>46300</v>
      </c>
      <c r="D44" s="83" t="str">
        <f t="shared" si="1"/>
        <v>41-2026</v>
      </c>
      <c r="E44" s="84" t="str">
        <f>_xlfn.IFNA(VLOOKUP(D44,Race_Calendar!D:F,2,FALSE),"-")</f>
        <v>-</v>
      </c>
      <c r="F44" s="81" t="str">
        <f>_xlfn.IFNA(VLOOKUP($D44,Race_Calendar!$D:$F,3,FALSE),"-")</f>
        <v>-</v>
      </c>
      <c r="G44" s="175" t="str">
        <f>_xlfn.IFNA(VLOOKUP($D44,Race_Calendar!$D:$G,4,FALSE),"-")</f>
        <v>-</v>
      </c>
      <c r="H44" s="85"/>
      <c r="I44" s="104" t="s">
        <v>77</v>
      </c>
      <c r="J44" s="200"/>
      <c r="K44" s="105" t="str">
        <f t="shared" si="23"/>
        <v>Trans</v>
      </c>
      <c r="L44" s="86"/>
      <c r="M44" s="83"/>
      <c r="N44" s="87">
        <f>VLOOKUP(K44,ATP_Conditions!M:N,2,FALSE)</f>
        <v>230</v>
      </c>
      <c r="O44" s="30">
        <f ca="1">SUM(T44,W44,Z44,AC44,AF44,AI44,AL44,AO44)+ATP_Conditions!$C$7</f>
        <v>0</v>
      </c>
      <c r="P44" s="31">
        <f t="shared" ca="1" si="24"/>
        <v>0</v>
      </c>
      <c r="Q44" s="75">
        <f t="shared" ca="1" si="25"/>
        <v>-230</v>
      </c>
      <c r="R44" s="76">
        <f t="shared" ca="1" si="4"/>
        <v>-230</v>
      </c>
      <c r="S44" s="88">
        <f t="shared" ca="1" si="5"/>
        <v>0</v>
      </c>
      <c r="T44" s="106">
        <f t="shared" ca="1" si="6"/>
        <v>0</v>
      </c>
      <c r="U44" s="78" cm="1">
        <f t="array" aca="1" ref="U44" ca="1">IF(T$3="None",0,(INDIRECT("TABLE_WTL[@[" &amp; U$4 &amp; "]]")))</f>
        <v>0</v>
      </c>
      <c r="V44" s="88">
        <f t="shared" ca="1" si="7"/>
        <v>0</v>
      </c>
      <c r="W44" s="106">
        <f t="shared" ca="1" si="8"/>
        <v>0</v>
      </c>
      <c r="X44" s="78" cm="1">
        <f t="array" aca="1" ref="X44" ca="1">IF(W$3="None",0,(INDIRECT("TABLE_WTL[@[" &amp; X$4 &amp; "]]")))</f>
        <v>0</v>
      </c>
      <c r="Y44" s="88">
        <f t="shared" ca="1" si="9"/>
        <v>0</v>
      </c>
      <c r="Z44" s="106">
        <f t="shared" ca="1" si="10"/>
        <v>0</v>
      </c>
      <c r="AA44" s="78" cm="1">
        <f t="array" aca="1" ref="AA44" ca="1">IF(Z$3="None",0,(INDIRECT("TABLE_WTL[@[" &amp; AA$4 &amp; "]]")))</f>
        <v>0</v>
      </c>
      <c r="AB44" s="88">
        <f t="shared" ca="1" si="11"/>
        <v>0</v>
      </c>
      <c r="AC44" s="106">
        <f t="shared" ca="1" si="12"/>
        <v>0</v>
      </c>
      <c r="AD44" s="78" cm="1">
        <f t="array" aca="1" ref="AD44" ca="1">IF(AC$3="None",0,(INDIRECT("TABLE_WTL[@[" &amp; AD$4 &amp; "]]")))</f>
        <v>0</v>
      </c>
      <c r="AE44" s="88">
        <f t="shared" ca="1" si="13"/>
        <v>0</v>
      </c>
      <c r="AF44" s="106">
        <f t="shared" ca="1" si="14"/>
        <v>0</v>
      </c>
      <c r="AG44" s="78" cm="1">
        <f t="array" aca="1" ref="AG44" ca="1">IF(AF$3="None",0,(INDIRECT("TABLE_WTL[@[" &amp; AG$4 &amp; "]]")))</f>
        <v>0</v>
      </c>
      <c r="AH44" s="88">
        <f t="shared" ca="1" si="15"/>
        <v>0</v>
      </c>
      <c r="AI44" s="106">
        <f t="shared" ca="1" si="16"/>
        <v>0</v>
      </c>
      <c r="AJ44" s="78" cm="1">
        <f t="array" aca="1" ref="AJ44" ca="1">IF(AI$3="None",0,(INDIRECT("TABLE_WTL[@[" &amp; AJ$4 &amp; "]]")))</f>
        <v>0</v>
      </c>
      <c r="AK44" s="88">
        <f t="shared" ca="1" si="17"/>
        <v>0</v>
      </c>
      <c r="AL44" s="106">
        <f t="shared" ca="1" si="18"/>
        <v>0</v>
      </c>
      <c r="AM44" s="78" cm="1">
        <f t="array" aca="1" ref="AM44" ca="1">IF(AL$3="None",0,(INDIRECT("TABLE_WTL[@[" &amp; AM$4 &amp; "]]")))</f>
        <v>0</v>
      </c>
      <c r="AN44" s="88">
        <f t="shared" ca="1" si="19"/>
        <v>0</v>
      </c>
      <c r="AO44" s="106">
        <f t="shared" ca="1" si="20"/>
        <v>0</v>
      </c>
      <c r="AP44" s="78" cm="1">
        <f t="array" aca="1" ref="AP44" ca="1">IF(AO$3="None",0,(INDIRECT("TABLE_WTL[@[" &amp; AP$4 &amp; "]]")))</f>
        <v>0</v>
      </c>
      <c r="AQ44" s="89"/>
      <c r="AR44" s="109"/>
      <c r="AS44" s="113"/>
      <c r="AT44" s="113"/>
      <c r="AU44" s="113"/>
      <c r="AV44" s="113"/>
      <c r="AW44" s="113"/>
      <c r="AX44" s="114"/>
      <c r="AY44" s="89"/>
      <c r="AZ44" s="129"/>
      <c r="BA44" s="50"/>
      <c r="BB44" s="122"/>
      <c r="BC44" s="123"/>
      <c r="BD44" s="123"/>
      <c r="BE44" s="123"/>
      <c r="BF44" s="123"/>
      <c r="BG44" s="123"/>
      <c r="BH44" s="123"/>
      <c r="BI44" s="124"/>
      <c r="BJ44" s="50"/>
      <c r="BK44" s="80">
        <f>N44/ATP_Conditions!$C$8</f>
        <v>3.2857142857142856</v>
      </c>
    </row>
    <row r="45" spans="1:63" ht="15" thickBot="1" x14ac:dyDescent="0.4">
      <c r="A45" s="30">
        <f t="shared" si="21"/>
        <v>41</v>
      </c>
      <c r="B45" s="81">
        <f t="shared" si="0"/>
        <v>42</v>
      </c>
      <c r="C45" s="82">
        <f t="shared" si="22"/>
        <v>46307</v>
      </c>
      <c r="D45" s="83" t="str">
        <f t="shared" si="1"/>
        <v>42-2026</v>
      </c>
      <c r="E45" s="84" t="str">
        <f>_xlfn.IFNA(VLOOKUP(D45,Race_Calendar!D:F,2,FALSE),"-")</f>
        <v>Goudasfaltloop</v>
      </c>
      <c r="F45" s="81" t="str">
        <f>_xlfn.IFNA(VLOOKUP($D45,Race_Calendar!$D:$F,3,FALSE),"-")</f>
        <v>B</v>
      </c>
      <c r="G45" s="175">
        <f>_xlfn.IFNA(VLOOKUP($D45,Race_Calendar!$D:$G,4,FALSE),"-")</f>
        <v>46307</v>
      </c>
      <c r="H45" s="85"/>
      <c r="I45" s="104" t="s">
        <v>77</v>
      </c>
      <c r="J45" s="200"/>
      <c r="K45" s="105" t="str">
        <f t="shared" si="23"/>
        <v>Trans</v>
      </c>
      <c r="L45" s="86"/>
      <c r="M45" s="83"/>
      <c r="N45" s="87">
        <f>VLOOKUP(K45,ATP_Conditions!M:N,2,FALSE)</f>
        <v>230</v>
      </c>
      <c r="O45" s="30">
        <f ca="1">SUM(T45,W45,Z45,AC45,AF45,AI45,AL45,AO45)+ATP_Conditions!$C$7</f>
        <v>0</v>
      </c>
      <c r="P45" s="31">
        <f t="shared" ca="1" si="24"/>
        <v>0</v>
      </c>
      <c r="Q45" s="75">
        <f t="shared" ca="1" si="25"/>
        <v>-230</v>
      </c>
      <c r="R45" s="76">
        <f t="shared" ca="1" si="4"/>
        <v>-230</v>
      </c>
      <c r="S45" s="88">
        <f t="shared" ca="1" si="5"/>
        <v>0</v>
      </c>
      <c r="T45" s="106">
        <f t="shared" ca="1" si="6"/>
        <v>0</v>
      </c>
      <c r="U45" s="78" cm="1">
        <f t="array" aca="1" ref="U45" ca="1">IF(T$3="None",0,(INDIRECT("TABLE_WTL[@[" &amp; U$4 &amp; "]]")))</f>
        <v>0</v>
      </c>
      <c r="V45" s="88">
        <f t="shared" ca="1" si="7"/>
        <v>0</v>
      </c>
      <c r="W45" s="106">
        <f t="shared" ca="1" si="8"/>
        <v>0</v>
      </c>
      <c r="X45" s="78" cm="1">
        <f t="array" aca="1" ref="X45" ca="1">IF(W$3="None",0,(INDIRECT("TABLE_WTL[@[" &amp; X$4 &amp; "]]")))</f>
        <v>0</v>
      </c>
      <c r="Y45" s="88">
        <f t="shared" ca="1" si="9"/>
        <v>0</v>
      </c>
      <c r="Z45" s="106">
        <f t="shared" ca="1" si="10"/>
        <v>0</v>
      </c>
      <c r="AA45" s="78" cm="1">
        <f t="array" aca="1" ref="AA45" ca="1">IF(Z$3="None",0,(INDIRECT("TABLE_WTL[@[" &amp; AA$4 &amp; "]]")))</f>
        <v>0</v>
      </c>
      <c r="AB45" s="88">
        <f t="shared" ca="1" si="11"/>
        <v>0</v>
      </c>
      <c r="AC45" s="106">
        <f t="shared" ca="1" si="12"/>
        <v>0</v>
      </c>
      <c r="AD45" s="78" cm="1">
        <f t="array" aca="1" ref="AD45" ca="1">IF(AC$3="None",0,(INDIRECT("TABLE_WTL[@[" &amp; AD$4 &amp; "]]")))</f>
        <v>0</v>
      </c>
      <c r="AE45" s="88">
        <f t="shared" ca="1" si="13"/>
        <v>0</v>
      </c>
      <c r="AF45" s="106">
        <f t="shared" ca="1" si="14"/>
        <v>0</v>
      </c>
      <c r="AG45" s="78" cm="1">
        <f t="array" aca="1" ref="AG45" ca="1">IF(AF$3="None",0,(INDIRECT("TABLE_WTL[@[" &amp; AG$4 &amp; "]]")))</f>
        <v>0</v>
      </c>
      <c r="AH45" s="88">
        <f t="shared" ca="1" si="15"/>
        <v>0</v>
      </c>
      <c r="AI45" s="106">
        <f t="shared" ca="1" si="16"/>
        <v>0</v>
      </c>
      <c r="AJ45" s="78" cm="1">
        <f t="array" aca="1" ref="AJ45" ca="1">IF(AI$3="None",0,(INDIRECT("TABLE_WTL[@[" &amp; AJ$4 &amp; "]]")))</f>
        <v>0</v>
      </c>
      <c r="AK45" s="88">
        <f t="shared" ca="1" si="17"/>
        <v>0</v>
      </c>
      <c r="AL45" s="106">
        <f t="shared" ca="1" si="18"/>
        <v>0</v>
      </c>
      <c r="AM45" s="78" cm="1">
        <f t="array" aca="1" ref="AM45" ca="1">IF(AL$3="None",0,(INDIRECT("TABLE_WTL[@[" &amp; AM$4 &amp; "]]")))</f>
        <v>0</v>
      </c>
      <c r="AN45" s="88">
        <f t="shared" ca="1" si="19"/>
        <v>0</v>
      </c>
      <c r="AO45" s="106">
        <f t="shared" ca="1" si="20"/>
        <v>0</v>
      </c>
      <c r="AP45" s="78" cm="1">
        <f t="array" aca="1" ref="AP45" ca="1">IF(AO$3="None",0,(INDIRECT("TABLE_WTL[@[" &amp; AP$4 &amp; "]]")))</f>
        <v>0</v>
      </c>
      <c r="AQ45" s="89"/>
      <c r="AR45" s="109"/>
      <c r="AS45" s="113"/>
      <c r="AT45" s="113"/>
      <c r="AU45" s="113"/>
      <c r="AV45" s="113"/>
      <c r="AW45" s="113"/>
      <c r="AX45" s="114"/>
      <c r="AY45" s="89"/>
      <c r="AZ45" s="129"/>
      <c r="BA45" s="50"/>
      <c r="BB45" s="122"/>
      <c r="BC45" s="123"/>
      <c r="BD45" s="123"/>
      <c r="BE45" s="123"/>
      <c r="BF45" s="123"/>
      <c r="BG45" s="123"/>
      <c r="BH45" s="123"/>
      <c r="BI45" s="124"/>
      <c r="BJ45" s="50"/>
      <c r="BK45" s="80">
        <f>N45/ATP_Conditions!$C$8</f>
        <v>3.2857142857142856</v>
      </c>
    </row>
    <row r="46" spans="1:63" ht="15" thickBot="1" x14ac:dyDescent="0.4">
      <c r="A46" s="30">
        <f t="shared" si="21"/>
        <v>42</v>
      </c>
      <c r="B46" s="81">
        <f t="shared" si="0"/>
        <v>43</v>
      </c>
      <c r="C46" s="82">
        <f t="shared" si="22"/>
        <v>46314</v>
      </c>
      <c r="D46" s="83" t="str">
        <f t="shared" si="1"/>
        <v>43-2026</v>
      </c>
      <c r="E46" s="84" t="str">
        <f>_xlfn.IFNA(VLOOKUP(D46,Race_Calendar!D:F,2,FALSE),"-")</f>
        <v>-</v>
      </c>
      <c r="F46" s="81" t="str">
        <f>_xlfn.IFNA(VLOOKUP($D46,Race_Calendar!$D:$F,3,FALSE),"-")</f>
        <v>-</v>
      </c>
      <c r="G46" s="175" t="str">
        <f>_xlfn.IFNA(VLOOKUP($D46,Race_Calendar!$D:$G,4,FALSE),"-")</f>
        <v>-</v>
      </c>
      <c r="H46" s="85"/>
      <c r="I46" s="104" t="s">
        <v>77</v>
      </c>
      <c r="J46" s="200"/>
      <c r="K46" s="105" t="str">
        <f t="shared" si="23"/>
        <v>Trans</v>
      </c>
      <c r="L46" s="86"/>
      <c r="M46" s="83"/>
      <c r="N46" s="87">
        <f>VLOOKUP(K46,ATP_Conditions!M:N,2,FALSE)</f>
        <v>230</v>
      </c>
      <c r="O46" s="30">
        <f ca="1">SUM(T46,W46,Z46,AC46,AF46,AI46,AL46,AO46)+ATP_Conditions!$C$7</f>
        <v>0</v>
      </c>
      <c r="P46" s="31">
        <f t="shared" ca="1" si="24"/>
        <v>0</v>
      </c>
      <c r="Q46" s="75">
        <f t="shared" ca="1" si="25"/>
        <v>-230</v>
      </c>
      <c r="R46" s="76">
        <f t="shared" ca="1" si="4"/>
        <v>-230</v>
      </c>
      <c r="S46" s="88">
        <f t="shared" ca="1" si="5"/>
        <v>0</v>
      </c>
      <c r="T46" s="106">
        <f t="shared" ca="1" si="6"/>
        <v>0</v>
      </c>
      <c r="U46" s="78" cm="1">
        <f t="array" aca="1" ref="U46" ca="1">IF(T$3="None",0,(INDIRECT("TABLE_WTL[@[" &amp; U$4 &amp; "]]")))</f>
        <v>0</v>
      </c>
      <c r="V46" s="88">
        <f t="shared" ca="1" si="7"/>
        <v>0</v>
      </c>
      <c r="W46" s="106">
        <f t="shared" ca="1" si="8"/>
        <v>0</v>
      </c>
      <c r="X46" s="78" cm="1">
        <f t="array" aca="1" ref="X46" ca="1">IF(W$3="None",0,(INDIRECT("TABLE_WTL[@[" &amp; X$4 &amp; "]]")))</f>
        <v>0</v>
      </c>
      <c r="Y46" s="88">
        <f t="shared" ca="1" si="9"/>
        <v>0</v>
      </c>
      <c r="Z46" s="106">
        <f t="shared" ca="1" si="10"/>
        <v>0</v>
      </c>
      <c r="AA46" s="78" cm="1">
        <f t="array" aca="1" ref="AA46" ca="1">IF(Z$3="None",0,(INDIRECT("TABLE_WTL[@[" &amp; AA$4 &amp; "]]")))</f>
        <v>0</v>
      </c>
      <c r="AB46" s="88">
        <f t="shared" ca="1" si="11"/>
        <v>0</v>
      </c>
      <c r="AC46" s="106">
        <f t="shared" ca="1" si="12"/>
        <v>0</v>
      </c>
      <c r="AD46" s="78" cm="1">
        <f t="array" aca="1" ref="AD46" ca="1">IF(AC$3="None",0,(INDIRECT("TABLE_WTL[@[" &amp; AD$4 &amp; "]]")))</f>
        <v>0</v>
      </c>
      <c r="AE46" s="88">
        <f t="shared" ca="1" si="13"/>
        <v>0</v>
      </c>
      <c r="AF46" s="106">
        <f t="shared" ca="1" si="14"/>
        <v>0</v>
      </c>
      <c r="AG46" s="78" cm="1">
        <f t="array" aca="1" ref="AG46" ca="1">IF(AF$3="None",0,(INDIRECT("TABLE_WTL[@[" &amp; AG$4 &amp; "]]")))</f>
        <v>0</v>
      </c>
      <c r="AH46" s="88">
        <f t="shared" ca="1" si="15"/>
        <v>0</v>
      </c>
      <c r="AI46" s="106">
        <f t="shared" ca="1" si="16"/>
        <v>0</v>
      </c>
      <c r="AJ46" s="78" cm="1">
        <f t="array" aca="1" ref="AJ46" ca="1">IF(AI$3="None",0,(INDIRECT("TABLE_WTL[@[" &amp; AJ$4 &amp; "]]")))</f>
        <v>0</v>
      </c>
      <c r="AK46" s="88">
        <f t="shared" ca="1" si="17"/>
        <v>0</v>
      </c>
      <c r="AL46" s="106">
        <f t="shared" ca="1" si="18"/>
        <v>0</v>
      </c>
      <c r="AM46" s="78" cm="1">
        <f t="array" aca="1" ref="AM46" ca="1">IF(AL$3="None",0,(INDIRECT("TABLE_WTL[@[" &amp; AM$4 &amp; "]]")))</f>
        <v>0</v>
      </c>
      <c r="AN46" s="88">
        <f t="shared" ca="1" si="19"/>
        <v>0</v>
      </c>
      <c r="AO46" s="106">
        <f t="shared" ca="1" si="20"/>
        <v>0</v>
      </c>
      <c r="AP46" s="78" cm="1">
        <f t="array" aca="1" ref="AP46" ca="1">IF(AO$3="None",0,(INDIRECT("TABLE_WTL[@[" &amp; AP$4 &amp; "]]")))</f>
        <v>0</v>
      </c>
      <c r="AQ46" s="89"/>
      <c r="AR46" s="109"/>
      <c r="AS46" s="113"/>
      <c r="AT46" s="113"/>
      <c r="AU46" s="113"/>
      <c r="AV46" s="113"/>
      <c r="AW46" s="113"/>
      <c r="AX46" s="114"/>
      <c r="AY46" s="89"/>
      <c r="AZ46" s="129"/>
      <c r="BA46" s="50"/>
      <c r="BB46" s="122"/>
      <c r="BC46" s="123"/>
      <c r="BD46" s="123"/>
      <c r="BE46" s="123"/>
      <c r="BF46" s="123"/>
      <c r="BG46" s="123"/>
      <c r="BH46" s="123"/>
      <c r="BI46" s="124"/>
      <c r="BJ46" s="50"/>
      <c r="BK46" s="80">
        <f>N46/ATP_Conditions!$C$8</f>
        <v>3.2857142857142856</v>
      </c>
    </row>
    <row r="47" spans="1:63" ht="15" thickBot="1" x14ac:dyDescent="0.4">
      <c r="A47" s="30">
        <f t="shared" si="21"/>
        <v>43</v>
      </c>
      <c r="B47" s="81">
        <f t="shared" si="0"/>
        <v>44</v>
      </c>
      <c r="C47" s="82">
        <f t="shared" si="22"/>
        <v>46321</v>
      </c>
      <c r="D47" s="83" t="str">
        <f t="shared" si="1"/>
        <v>44-2026</v>
      </c>
      <c r="E47" s="84" t="str">
        <f>_xlfn.IFNA(VLOOKUP(D47,Race_Calendar!D:F,2,FALSE),"-")</f>
        <v>-</v>
      </c>
      <c r="F47" s="81" t="str">
        <f>_xlfn.IFNA(VLOOKUP($D47,Race_Calendar!$D:$F,3,FALSE),"-")</f>
        <v>-</v>
      </c>
      <c r="G47" s="175" t="str">
        <f>_xlfn.IFNA(VLOOKUP($D47,Race_Calendar!$D:$G,4,FALSE),"-")</f>
        <v>-</v>
      </c>
      <c r="H47" s="85"/>
      <c r="I47" s="104" t="s">
        <v>77</v>
      </c>
      <c r="J47" s="200"/>
      <c r="K47" s="105" t="str">
        <f t="shared" si="23"/>
        <v>Trans</v>
      </c>
      <c r="L47" s="86"/>
      <c r="M47" s="83"/>
      <c r="N47" s="87">
        <f>VLOOKUP(K47,ATP_Conditions!M:N,2,FALSE)</f>
        <v>230</v>
      </c>
      <c r="O47" s="30">
        <f ca="1">SUM(T47,W47,Z47,AC47,AF47,AI47,AL47,AO47)+ATP_Conditions!$C$7</f>
        <v>0</v>
      </c>
      <c r="P47" s="31">
        <f t="shared" ca="1" si="24"/>
        <v>0</v>
      </c>
      <c r="Q47" s="75">
        <f t="shared" ca="1" si="25"/>
        <v>-230</v>
      </c>
      <c r="R47" s="76">
        <f t="shared" ca="1" si="4"/>
        <v>-230</v>
      </c>
      <c r="S47" s="88">
        <f t="shared" ca="1" si="5"/>
        <v>0</v>
      </c>
      <c r="T47" s="106">
        <f t="shared" ca="1" si="6"/>
        <v>0</v>
      </c>
      <c r="U47" s="78" cm="1">
        <f t="array" aca="1" ref="U47" ca="1">IF(T$3="None",0,(INDIRECT("TABLE_WTL[@[" &amp; U$4 &amp; "]]")))</f>
        <v>0</v>
      </c>
      <c r="V47" s="88">
        <f t="shared" ca="1" si="7"/>
        <v>0</v>
      </c>
      <c r="W47" s="106">
        <f t="shared" ca="1" si="8"/>
        <v>0</v>
      </c>
      <c r="X47" s="78" cm="1">
        <f t="array" aca="1" ref="X47" ca="1">IF(W$3="None",0,(INDIRECT("TABLE_WTL[@[" &amp; X$4 &amp; "]]")))</f>
        <v>0</v>
      </c>
      <c r="Y47" s="88">
        <f t="shared" ca="1" si="9"/>
        <v>0</v>
      </c>
      <c r="Z47" s="106">
        <f t="shared" ca="1" si="10"/>
        <v>0</v>
      </c>
      <c r="AA47" s="78" cm="1">
        <f t="array" aca="1" ref="AA47" ca="1">IF(Z$3="None",0,(INDIRECT("TABLE_WTL[@[" &amp; AA$4 &amp; "]]")))</f>
        <v>0</v>
      </c>
      <c r="AB47" s="88">
        <f t="shared" ca="1" si="11"/>
        <v>0</v>
      </c>
      <c r="AC47" s="106">
        <f t="shared" ca="1" si="12"/>
        <v>0</v>
      </c>
      <c r="AD47" s="78" cm="1">
        <f t="array" aca="1" ref="AD47" ca="1">IF(AC$3="None",0,(INDIRECT("TABLE_WTL[@[" &amp; AD$4 &amp; "]]")))</f>
        <v>0</v>
      </c>
      <c r="AE47" s="88">
        <f t="shared" ca="1" si="13"/>
        <v>0</v>
      </c>
      <c r="AF47" s="106">
        <f t="shared" ca="1" si="14"/>
        <v>0</v>
      </c>
      <c r="AG47" s="78" cm="1">
        <f t="array" aca="1" ref="AG47" ca="1">IF(AF$3="None",0,(INDIRECT("TABLE_WTL[@[" &amp; AG$4 &amp; "]]")))</f>
        <v>0</v>
      </c>
      <c r="AH47" s="88">
        <f t="shared" ca="1" si="15"/>
        <v>0</v>
      </c>
      <c r="AI47" s="106">
        <f t="shared" ca="1" si="16"/>
        <v>0</v>
      </c>
      <c r="AJ47" s="78" cm="1">
        <f t="array" aca="1" ref="AJ47" ca="1">IF(AI$3="None",0,(INDIRECT("TABLE_WTL[@[" &amp; AJ$4 &amp; "]]")))</f>
        <v>0</v>
      </c>
      <c r="AK47" s="88">
        <f t="shared" ca="1" si="17"/>
        <v>0</v>
      </c>
      <c r="AL47" s="106">
        <f t="shared" ca="1" si="18"/>
        <v>0</v>
      </c>
      <c r="AM47" s="78" cm="1">
        <f t="array" aca="1" ref="AM47" ca="1">IF(AL$3="None",0,(INDIRECT("TABLE_WTL[@[" &amp; AM$4 &amp; "]]")))</f>
        <v>0</v>
      </c>
      <c r="AN47" s="88">
        <f t="shared" ca="1" si="19"/>
        <v>0</v>
      </c>
      <c r="AO47" s="106">
        <f t="shared" ca="1" si="20"/>
        <v>0</v>
      </c>
      <c r="AP47" s="78" cm="1">
        <f t="array" aca="1" ref="AP47" ca="1">IF(AO$3="None",0,(INDIRECT("TABLE_WTL[@[" &amp; AP$4 &amp; "]]")))</f>
        <v>0</v>
      </c>
      <c r="AQ47" s="89"/>
      <c r="AR47" s="109"/>
      <c r="AS47" s="113"/>
      <c r="AT47" s="113"/>
      <c r="AU47" s="113"/>
      <c r="AV47" s="113"/>
      <c r="AW47" s="113"/>
      <c r="AX47" s="114"/>
      <c r="AY47" s="89"/>
      <c r="AZ47" s="129"/>
      <c r="BA47" s="50"/>
      <c r="BB47" s="122"/>
      <c r="BC47" s="123"/>
      <c r="BD47" s="123"/>
      <c r="BE47" s="123"/>
      <c r="BF47" s="123"/>
      <c r="BG47" s="123"/>
      <c r="BH47" s="123"/>
      <c r="BI47" s="124"/>
      <c r="BJ47" s="50"/>
      <c r="BK47" s="80">
        <f>N47/ATP_Conditions!$C$8</f>
        <v>3.2857142857142856</v>
      </c>
    </row>
    <row r="48" spans="1:63" ht="15" thickBot="1" x14ac:dyDescent="0.4">
      <c r="A48" s="30">
        <f t="shared" si="21"/>
        <v>44</v>
      </c>
      <c r="B48" s="81">
        <f t="shared" si="0"/>
        <v>45</v>
      </c>
      <c r="C48" s="82">
        <f t="shared" si="22"/>
        <v>46328</v>
      </c>
      <c r="D48" s="83" t="str">
        <f t="shared" si="1"/>
        <v>45-2026</v>
      </c>
      <c r="E48" s="84" t="str">
        <f>_xlfn.IFNA(VLOOKUP(D48,Race_Calendar!D:F,2,FALSE),"-")</f>
        <v>-</v>
      </c>
      <c r="F48" s="81" t="str">
        <f>_xlfn.IFNA(VLOOKUP($D48,Race_Calendar!$D:$F,3,FALSE),"-")</f>
        <v>-</v>
      </c>
      <c r="G48" s="175" t="str">
        <f>_xlfn.IFNA(VLOOKUP($D48,Race_Calendar!$D:$G,4,FALSE),"-")</f>
        <v>-</v>
      </c>
      <c r="H48" s="85"/>
      <c r="I48" s="104" t="s">
        <v>77</v>
      </c>
      <c r="J48" s="200"/>
      <c r="K48" s="105" t="str">
        <f t="shared" si="23"/>
        <v>Trans</v>
      </c>
      <c r="L48" s="86"/>
      <c r="M48" s="83"/>
      <c r="N48" s="87">
        <f>VLOOKUP(K48,ATP_Conditions!M:N,2,FALSE)</f>
        <v>230</v>
      </c>
      <c r="O48" s="30">
        <f ca="1">SUM(T48,W48,Z48,AC48,AF48,AI48,AL48,AO48)+ATP_Conditions!$C$7</f>
        <v>0</v>
      </c>
      <c r="P48" s="31">
        <f t="shared" ca="1" si="24"/>
        <v>0</v>
      </c>
      <c r="Q48" s="75">
        <f t="shared" ca="1" si="25"/>
        <v>-230</v>
      </c>
      <c r="R48" s="76">
        <f t="shared" ca="1" si="4"/>
        <v>-230</v>
      </c>
      <c r="S48" s="88">
        <f t="shared" ca="1" si="5"/>
        <v>0</v>
      </c>
      <c r="T48" s="106">
        <f t="shared" ca="1" si="6"/>
        <v>0</v>
      </c>
      <c r="U48" s="78" cm="1">
        <f t="array" aca="1" ref="U48" ca="1">IF(T$3="None",0,(INDIRECT("TABLE_WTL[@[" &amp; U$4 &amp; "]]")))</f>
        <v>0</v>
      </c>
      <c r="V48" s="88">
        <f t="shared" ca="1" si="7"/>
        <v>0</v>
      </c>
      <c r="W48" s="106">
        <f t="shared" ca="1" si="8"/>
        <v>0</v>
      </c>
      <c r="X48" s="78" cm="1">
        <f t="array" aca="1" ref="X48" ca="1">IF(W$3="None",0,(INDIRECT("TABLE_WTL[@[" &amp; X$4 &amp; "]]")))</f>
        <v>0</v>
      </c>
      <c r="Y48" s="88">
        <f t="shared" ca="1" si="9"/>
        <v>0</v>
      </c>
      <c r="Z48" s="106">
        <f t="shared" ca="1" si="10"/>
        <v>0</v>
      </c>
      <c r="AA48" s="78" cm="1">
        <f t="array" aca="1" ref="AA48" ca="1">IF(Z$3="None",0,(INDIRECT("TABLE_WTL[@[" &amp; AA$4 &amp; "]]")))</f>
        <v>0</v>
      </c>
      <c r="AB48" s="88">
        <f t="shared" ca="1" si="11"/>
        <v>0</v>
      </c>
      <c r="AC48" s="106">
        <f t="shared" ca="1" si="12"/>
        <v>0</v>
      </c>
      <c r="AD48" s="78" cm="1">
        <f t="array" aca="1" ref="AD48" ca="1">IF(AC$3="None",0,(INDIRECT("TABLE_WTL[@[" &amp; AD$4 &amp; "]]")))</f>
        <v>0</v>
      </c>
      <c r="AE48" s="88">
        <f t="shared" ca="1" si="13"/>
        <v>0</v>
      </c>
      <c r="AF48" s="106">
        <f t="shared" ca="1" si="14"/>
        <v>0</v>
      </c>
      <c r="AG48" s="78" cm="1">
        <f t="array" aca="1" ref="AG48" ca="1">IF(AF$3="None",0,(INDIRECT("TABLE_WTL[@[" &amp; AG$4 &amp; "]]")))</f>
        <v>0</v>
      </c>
      <c r="AH48" s="88">
        <f t="shared" ca="1" si="15"/>
        <v>0</v>
      </c>
      <c r="AI48" s="106">
        <f t="shared" ca="1" si="16"/>
        <v>0</v>
      </c>
      <c r="AJ48" s="78" cm="1">
        <f t="array" aca="1" ref="AJ48" ca="1">IF(AI$3="None",0,(INDIRECT("TABLE_WTL[@[" &amp; AJ$4 &amp; "]]")))</f>
        <v>0</v>
      </c>
      <c r="AK48" s="88">
        <f t="shared" ca="1" si="17"/>
        <v>0</v>
      </c>
      <c r="AL48" s="106">
        <f t="shared" ca="1" si="18"/>
        <v>0</v>
      </c>
      <c r="AM48" s="78" cm="1">
        <f t="array" aca="1" ref="AM48" ca="1">IF(AL$3="None",0,(INDIRECT("TABLE_WTL[@[" &amp; AM$4 &amp; "]]")))</f>
        <v>0</v>
      </c>
      <c r="AN48" s="88">
        <f t="shared" ca="1" si="19"/>
        <v>0</v>
      </c>
      <c r="AO48" s="106">
        <f t="shared" ca="1" si="20"/>
        <v>0</v>
      </c>
      <c r="AP48" s="78" cm="1">
        <f t="array" aca="1" ref="AP48" ca="1">IF(AO$3="None",0,(INDIRECT("TABLE_WTL[@[" &amp; AP$4 &amp; "]]")))</f>
        <v>0</v>
      </c>
      <c r="AQ48" s="89"/>
      <c r="AR48" s="109"/>
      <c r="AS48" s="113"/>
      <c r="AT48" s="113"/>
      <c r="AU48" s="113"/>
      <c r="AV48" s="113"/>
      <c r="AW48" s="113"/>
      <c r="AX48" s="114"/>
      <c r="AY48" s="89"/>
      <c r="AZ48" s="129"/>
      <c r="BA48" s="50"/>
      <c r="BB48" s="122"/>
      <c r="BC48" s="123"/>
      <c r="BD48" s="123"/>
      <c r="BE48" s="123"/>
      <c r="BF48" s="123"/>
      <c r="BG48" s="123"/>
      <c r="BH48" s="123"/>
      <c r="BI48" s="124"/>
      <c r="BJ48" s="50"/>
      <c r="BK48" s="80">
        <f>N48/ATP_Conditions!$C$8</f>
        <v>3.2857142857142856</v>
      </c>
    </row>
    <row r="49" spans="1:63" ht="15" thickBot="1" x14ac:dyDescent="0.4">
      <c r="A49" s="30">
        <f t="shared" si="21"/>
        <v>45</v>
      </c>
      <c r="B49" s="81">
        <f t="shared" si="0"/>
        <v>46</v>
      </c>
      <c r="C49" s="82">
        <f t="shared" si="22"/>
        <v>46335</v>
      </c>
      <c r="D49" s="83" t="str">
        <f t="shared" si="1"/>
        <v>46-2026</v>
      </c>
      <c r="E49" s="84" t="str">
        <f>_xlfn.IFNA(VLOOKUP(D49,Race_Calendar!D:F,2,FALSE),"-")</f>
        <v>-</v>
      </c>
      <c r="F49" s="81" t="str">
        <f>_xlfn.IFNA(VLOOKUP($D49,Race_Calendar!$D:$F,3,FALSE),"-")</f>
        <v>-</v>
      </c>
      <c r="G49" s="175" t="str">
        <f>_xlfn.IFNA(VLOOKUP($D49,Race_Calendar!$D:$G,4,FALSE),"-")</f>
        <v>-</v>
      </c>
      <c r="H49" s="85"/>
      <c r="I49" s="104" t="s">
        <v>77</v>
      </c>
      <c r="J49" s="200"/>
      <c r="K49" s="105" t="str">
        <f t="shared" si="23"/>
        <v>Trans</v>
      </c>
      <c r="L49" s="86"/>
      <c r="M49" s="83"/>
      <c r="N49" s="87">
        <f>VLOOKUP(K49,ATP_Conditions!M:N,2,FALSE)</f>
        <v>230</v>
      </c>
      <c r="O49" s="30">
        <f ca="1">SUM(T49,W49,Z49,AC49,AF49,AI49,AL49,AO49)+ATP_Conditions!$C$7</f>
        <v>0</v>
      </c>
      <c r="P49" s="31">
        <f t="shared" ca="1" si="24"/>
        <v>0</v>
      </c>
      <c r="Q49" s="75">
        <f t="shared" ca="1" si="25"/>
        <v>-230</v>
      </c>
      <c r="R49" s="76">
        <f t="shared" ca="1" si="4"/>
        <v>-230</v>
      </c>
      <c r="S49" s="88">
        <f t="shared" ca="1" si="5"/>
        <v>0</v>
      </c>
      <c r="T49" s="106">
        <f t="shared" ca="1" si="6"/>
        <v>0</v>
      </c>
      <c r="U49" s="78" cm="1">
        <f t="array" aca="1" ref="U49" ca="1">IF(T$3="None",0,(INDIRECT("TABLE_WTL[@[" &amp; U$4 &amp; "]]")))</f>
        <v>0</v>
      </c>
      <c r="V49" s="88">
        <f t="shared" ca="1" si="7"/>
        <v>0</v>
      </c>
      <c r="W49" s="106">
        <f t="shared" ca="1" si="8"/>
        <v>0</v>
      </c>
      <c r="X49" s="78" cm="1">
        <f t="array" aca="1" ref="X49" ca="1">IF(W$3="None",0,(INDIRECT("TABLE_WTL[@[" &amp; X$4 &amp; "]]")))</f>
        <v>0</v>
      </c>
      <c r="Y49" s="88">
        <f t="shared" ca="1" si="9"/>
        <v>0</v>
      </c>
      <c r="Z49" s="106">
        <f t="shared" ca="1" si="10"/>
        <v>0</v>
      </c>
      <c r="AA49" s="78" cm="1">
        <f t="array" aca="1" ref="AA49" ca="1">IF(Z$3="None",0,(INDIRECT("TABLE_WTL[@[" &amp; AA$4 &amp; "]]")))</f>
        <v>0</v>
      </c>
      <c r="AB49" s="88">
        <f t="shared" ca="1" si="11"/>
        <v>0</v>
      </c>
      <c r="AC49" s="106">
        <f t="shared" ca="1" si="12"/>
        <v>0</v>
      </c>
      <c r="AD49" s="78" cm="1">
        <f t="array" aca="1" ref="AD49" ca="1">IF(AC$3="None",0,(INDIRECT("TABLE_WTL[@[" &amp; AD$4 &amp; "]]")))</f>
        <v>0</v>
      </c>
      <c r="AE49" s="88">
        <f t="shared" ca="1" si="13"/>
        <v>0</v>
      </c>
      <c r="AF49" s="106">
        <f t="shared" ca="1" si="14"/>
        <v>0</v>
      </c>
      <c r="AG49" s="78" cm="1">
        <f t="array" aca="1" ref="AG49" ca="1">IF(AF$3="None",0,(INDIRECT("TABLE_WTL[@[" &amp; AG$4 &amp; "]]")))</f>
        <v>0</v>
      </c>
      <c r="AH49" s="88">
        <f t="shared" ca="1" si="15"/>
        <v>0</v>
      </c>
      <c r="AI49" s="106">
        <f t="shared" ca="1" si="16"/>
        <v>0</v>
      </c>
      <c r="AJ49" s="78" cm="1">
        <f t="array" aca="1" ref="AJ49" ca="1">IF(AI$3="None",0,(INDIRECT("TABLE_WTL[@[" &amp; AJ$4 &amp; "]]")))</f>
        <v>0</v>
      </c>
      <c r="AK49" s="88">
        <f t="shared" ca="1" si="17"/>
        <v>0</v>
      </c>
      <c r="AL49" s="106">
        <f t="shared" ca="1" si="18"/>
        <v>0</v>
      </c>
      <c r="AM49" s="78" cm="1">
        <f t="array" aca="1" ref="AM49" ca="1">IF(AL$3="None",0,(INDIRECT("TABLE_WTL[@[" &amp; AM$4 &amp; "]]")))</f>
        <v>0</v>
      </c>
      <c r="AN49" s="88">
        <f t="shared" ca="1" si="19"/>
        <v>0</v>
      </c>
      <c r="AO49" s="106">
        <f t="shared" ca="1" si="20"/>
        <v>0</v>
      </c>
      <c r="AP49" s="78" cm="1">
        <f t="array" aca="1" ref="AP49" ca="1">IF(AO$3="None",0,(INDIRECT("TABLE_WTL[@[" &amp; AP$4 &amp; "]]")))</f>
        <v>0</v>
      </c>
      <c r="AQ49" s="89"/>
      <c r="AR49" s="109"/>
      <c r="AS49" s="113"/>
      <c r="AT49" s="113"/>
      <c r="AU49" s="113"/>
      <c r="AV49" s="113"/>
      <c r="AW49" s="113"/>
      <c r="AX49" s="114"/>
      <c r="AY49" s="89"/>
      <c r="AZ49" s="129"/>
      <c r="BA49" s="50"/>
      <c r="BB49" s="122"/>
      <c r="BC49" s="123"/>
      <c r="BD49" s="123"/>
      <c r="BE49" s="123"/>
      <c r="BF49" s="123"/>
      <c r="BG49" s="123"/>
      <c r="BH49" s="123"/>
      <c r="BI49" s="124"/>
      <c r="BJ49" s="50"/>
      <c r="BK49" s="80">
        <f>N49/ATP_Conditions!$C$8</f>
        <v>3.2857142857142856</v>
      </c>
    </row>
    <row r="50" spans="1:63" ht="15" thickBot="1" x14ac:dyDescent="0.4">
      <c r="A50" s="30">
        <f t="shared" si="21"/>
        <v>46</v>
      </c>
      <c r="B50" s="81">
        <f t="shared" si="0"/>
        <v>47</v>
      </c>
      <c r="C50" s="82">
        <f t="shared" si="22"/>
        <v>46342</v>
      </c>
      <c r="D50" s="83" t="str">
        <f t="shared" si="1"/>
        <v>47-2026</v>
      </c>
      <c r="E50" s="84" t="str">
        <f>_xlfn.IFNA(VLOOKUP(D50,Race_Calendar!D:F,2,FALSE),"-")</f>
        <v>-</v>
      </c>
      <c r="F50" s="81" t="str">
        <f>_xlfn.IFNA(VLOOKUP($D50,Race_Calendar!$D:$F,3,FALSE),"-")</f>
        <v>-</v>
      </c>
      <c r="G50" s="175" t="str">
        <f>_xlfn.IFNA(VLOOKUP($D50,Race_Calendar!$D:$G,4,FALSE),"-")</f>
        <v>-</v>
      </c>
      <c r="H50" s="85"/>
      <c r="I50" s="104" t="s">
        <v>77</v>
      </c>
      <c r="J50" s="200"/>
      <c r="K50" s="105" t="str">
        <f t="shared" si="23"/>
        <v>Trans</v>
      </c>
      <c r="L50" s="86"/>
      <c r="M50" s="83"/>
      <c r="N50" s="87">
        <f>VLOOKUP(K50,ATP_Conditions!M:N,2,FALSE)</f>
        <v>230</v>
      </c>
      <c r="O50" s="30">
        <f ca="1">SUM(T50,W50,Z50,AC50,AF50,AI50,AL50,AO50)+ATP_Conditions!$C$7</f>
        <v>0</v>
      </c>
      <c r="P50" s="31">
        <f t="shared" ca="1" si="24"/>
        <v>0</v>
      </c>
      <c r="Q50" s="75">
        <f t="shared" ca="1" si="25"/>
        <v>-230</v>
      </c>
      <c r="R50" s="76">
        <f t="shared" ca="1" si="4"/>
        <v>-230</v>
      </c>
      <c r="S50" s="88">
        <f t="shared" ca="1" si="5"/>
        <v>0</v>
      </c>
      <c r="T50" s="106">
        <f t="shared" ca="1" si="6"/>
        <v>0</v>
      </c>
      <c r="U50" s="78" cm="1">
        <f t="array" aca="1" ref="U50" ca="1">IF(T$3="None",0,(INDIRECT("TABLE_WTL[@[" &amp; U$4 &amp; "]]")))</f>
        <v>0</v>
      </c>
      <c r="V50" s="88">
        <f t="shared" ca="1" si="7"/>
        <v>0</v>
      </c>
      <c r="W50" s="106">
        <f t="shared" ca="1" si="8"/>
        <v>0</v>
      </c>
      <c r="X50" s="78" cm="1">
        <f t="array" aca="1" ref="X50" ca="1">IF(W$3="None",0,(INDIRECT("TABLE_WTL[@[" &amp; X$4 &amp; "]]")))</f>
        <v>0</v>
      </c>
      <c r="Y50" s="88">
        <f t="shared" ca="1" si="9"/>
        <v>0</v>
      </c>
      <c r="Z50" s="106">
        <f t="shared" ca="1" si="10"/>
        <v>0</v>
      </c>
      <c r="AA50" s="78" cm="1">
        <f t="array" aca="1" ref="AA50" ca="1">IF(Z$3="None",0,(INDIRECT("TABLE_WTL[@[" &amp; AA$4 &amp; "]]")))</f>
        <v>0</v>
      </c>
      <c r="AB50" s="88">
        <f t="shared" ca="1" si="11"/>
        <v>0</v>
      </c>
      <c r="AC50" s="106">
        <f t="shared" ca="1" si="12"/>
        <v>0</v>
      </c>
      <c r="AD50" s="78" cm="1">
        <f t="array" aca="1" ref="AD50" ca="1">IF(AC$3="None",0,(INDIRECT("TABLE_WTL[@[" &amp; AD$4 &amp; "]]")))</f>
        <v>0</v>
      </c>
      <c r="AE50" s="88">
        <f t="shared" ca="1" si="13"/>
        <v>0</v>
      </c>
      <c r="AF50" s="106">
        <f t="shared" ca="1" si="14"/>
        <v>0</v>
      </c>
      <c r="AG50" s="78" cm="1">
        <f t="array" aca="1" ref="AG50" ca="1">IF(AF$3="None",0,(INDIRECT("TABLE_WTL[@[" &amp; AG$4 &amp; "]]")))</f>
        <v>0</v>
      </c>
      <c r="AH50" s="88">
        <f t="shared" ca="1" si="15"/>
        <v>0</v>
      </c>
      <c r="AI50" s="106">
        <f t="shared" ca="1" si="16"/>
        <v>0</v>
      </c>
      <c r="AJ50" s="78" cm="1">
        <f t="array" aca="1" ref="AJ50" ca="1">IF(AI$3="None",0,(INDIRECT("TABLE_WTL[@[" &amp; AJ$4 &amp; "]]")))</f>
        <v>0</v>
      </c>
      <c r="AK50" s="88">
        <f t="shared" ca="1" si="17"/>
        <v>0</v>
      </c>
      <c r="AL50" s="106">
        <f t="shared" ca="1" si="18"/>
        <v>0</v>
      </c>
      <c r="AM50" s="78" cm="1">
        <f t="array" aca="1" ref="AM50" ca="1">IF(AL$3="None",0,(INDIRECT("TABLE_WTL[@[" &amp; AM$4 &amp; "]]")))</f>
        <v>0</v>
      </c>
      <c r="AN50" s="88">
        <f t="shared" ca="1" si="19"/>
        <v>0</v>
      </c>
      <c r="AO50" s="106">
        <f t="shared" ca="1" si="20"/>
        <v>0</v>
      </c>
      <c r="AP50" s="78" cm="1">
        <f t="array" aca="1" ref="AP50" ca="1">IF(AO$3="None",0,(INDIRECT("TABLE_WTL[@[" &amp; AP$4 &amp; "]]")))</f>
        <v>0</v>
      </c>
      <c r="AQ50" s="89"/>
      <c r="AR50" s="109"/>
      <c r="AS50" s="113"/>
      <c r="AT50" s="113"/>
      <c r="AU50" s="113"/>
      <c r="AV50" s="113"/>
      <c r="AW50" s="113"/>
      <c r="AX50" s="114"/>
      <c r="AY50" s="89"/>
      <c r="AZ50" s="129"/>
      <c r="BA50" s="50"/>
      <c r="BB50" s="122"/>
      <c r="BC50" s="123"/>
      <c r="BD50" s="123"/>
      <c r="BE50" s="123"/>
      <c r="BF50" s="123"/>
      <c r="BG50" s="123"/>
      <c r="BH50" s="123"/>
      <c r="BI50" s="124"/>
      <c r="BJ50" s="50"/>
      <c r="BK50" s="80">
        <f>N50/ATP_Conditions!$C$8</f>
        <v>3.2857142857142856</v>
      </c>
    </row>
    <row r="51" spans="1:63" ht="15" thickBot="1" x14ac:dyDescent="0.4">
      <c r="A51" s="30">
        <f t="shared" si="21"/>
        <v>47</v>
      </c>
      <c r="B51" s="81">
        <f t="shared" si="0"/>
        <v>48</v>
      </c>
      <c r="C51" s="82">
        <f t="shared" si="22"/>
        <v>46349</v>
      </c>
      <c r="D51" s="83" t="str">
        <f t="shared" si="1"/>
        <v>48-2026</v>
      </c>
      <c r="E51" s="84" t="str">
        <f>_xlfn.IFNA(VLOOKUP(D51,Race_Calendar!D:F,2,FALSE),"-")</f>
        <v>-</v>
      </c>
      <c r="F51" s="81" t="str">
        <f>_xlfn.IFNA(VLOOKUP($D51,Race_Calendar!$D:$F,3,FALSE),"-")</f>
        <v>-</v>
      </c>
      <c r="G51" s="175" t="str">
        <f>_xlfn.IFNA(VLOOKUP($D51,Race_Calendar!$D:$G,4,FALSE),"-")</f>
        <v>-</v>
      </c>
      <c r="H51" s="85"/>
      <c r="I51" s="104" t="s">
        <v>77</v>
      </c>
      <c r="J51" s="200"/>
      <c r="K51" s="105" t="str">
        <f t="shared" si="23"/>
        <v>Trans</v>
      </c>
      <c r="L51" s="86"/>
      <c r="M51" s="83"/>
      <c r="N51" s="87">
        <f>VLOOKUP(K51,ATP_Conditions!M:N,2,FALSE)</f>
        <v>230</v>
      </c>
      <c r="O51" s="30">
        <f ca="1">SUM(T51,W51,Z51,AC51,AF51,AI51,AL51,AO51)+ATP_Conditions!$C$7</f>
        <v>0</v>
      </c>
      <c r="P51" s="31">
        <f t="shared" ca="1" si="24"/>
        <v>0</v>
      </c>
      <c r="Q51" s="75">
        <f t="shared" ca="1" si="25"/>
        <v>-230</v>
      </c>
      <c r="R51" s="76">
        <f t="shared" ca="1" si="4"/>
        <v>-230</v>
      </c>
      <c r="S51" s="88">
        <f t="shared" ca="1" si="5"/>
        <v>0</v>
      </c>
      <c r="T51" s="106">
        <f t="shared" ca="1" si="6"/>
        <v>0</v>
      </c>
      <c r="U51" s="78" cm="1">
        <f t="array" aca="1" ref="U51" ca="1">IF(T$3="None",0,(INDIRECT("TABLE_WTL[@[" &amp; U$4 &amp; "]]")))</f>
        <v>0</v>
      </c>
      <c r="V51" s="88">
        <f t="shared" ca="1" si="7"/>
        <v>0</v>
      </c>
      <c r="W51" s="106">
        <f t="shared" ca="1" si="8"/>
        <v>0</v>
      </c>
      <c r="X51" s="78" cm="1">
        <f t="array" aca="1" ref="X51" ca="1">IF(W$3="None",0,(INDIRECT("TABLE_WTL[@[" &amp; X$4 &amp; "]]")))</f>
        <v>0</v>
      </c>
      <c r="Y51" s="88">
        <f t="shared" ca="1" si="9"/>
        <v>0</v>
      </c>
      <c r="Z51" s="106">
        <f t="shared" ca="1" si="10"/>
        <v>0</v>
      </c>
      <c r="AA51" s="78" cm="1">
        <f t="array" aca="1" ref="AA51" ca="1">IF(Z$3="None",0,(INDIRECT("TABLE_WTL[@[" &amp; AA$4 &amp; "]]")))</f>
        <v>0</v>
      </c>
      <c r="AB51" s="88">
        <f t="shared" ca="1" si="11"/>
        <v>0</v>
      </c>
      <c r="AC51" s="106">
        <f t="shared" ca="1" si="12"/>
        <v>0</v>
      </c>
      <c r="AD51" s="78" cm="1">
        <f t="array" aca="1" ref="AD51" ca="1">IF(AC$3="None",0,(INDIRECT("TABLE_WTL[@[" &amp; AD$4 &amp; "]]")))</f>
        <v>0</v>
      </c>
      <c r="AE51" s="88">
        <f t="shared" ca="1" si="13"/>
        <v>0</v>
      </c>
      <c r="AF51" s="106">
        <f t="shared" ca="1" si="14"/>
        <v>0</v>
      </c>
      <c r="AG51" s="78" cm="1">
        <f t="array" aca="1" ref="AG51" ca="1">IF(AF$3="None",0,(INDIRECT("TABLE_WTL[@[" &amp; AG$4 &amp; "]]")))</f>
        <v>0</v>
      </c>
      <c r="AH51" s="88">
        <f t="shared" ca="1" si="15"/>
        <v>0</v>
      </c>
      <c r="AI51" s="106">
        <f t="shared" ca="1" si="16"/>
        <v>0</v>
      </c>
      <c r="AJ51" s="78" cm="1">
        <f t="array" aca="1" ref="AJ51" ca="1">IF(AI$3="None",0,(INDIRECT("TABLE_WTL[@[" &amp; AJ$4 &amp; "]]")))</f>
        <v>0</v>
      </c>
      <c r="AK51" s="88">
        <f t="shared" ca="1" si="17"/>
        <v>0</v>
      </c>
      <c r="AL51" s="106">
        <f t="shared" ca="1" si="18"/>
        <v>0</v>
      </c>
      <c r="AM51" s="78" cm="1">
        <f t="array" aca="1" ref="AM51" ca="1">IF(AL$3="None",0,(INDIRECT("TABLE_WTL[@[" &amp; AM$4 &amp; "]]")))</f>
        <v>0</v>
      </c>
      <c r="AN51" s="88">
        <f t="shared" ca="1" si="19"/>
        <v>0</v>
      </c>
      <c r="AO51" s="106">
        <f t="shared" ca="1" si="20"/>
        <v>0</v>
      </c>
      <c r="AP51" s="78" cm="1">
        <f t="array" aca="1" ref="AP51" ca="1">IF(AO$3="None",0,(INDIRECT("TABLE_WTL[@[" &amp; AP$4 &amp; "]]")))</f>
        <v>0</v>
      </c>
      <c r="AQ51" s="89"/>
      <c r="AR51" s="109"/>
      <c r="AS51" s="113"/>
      <c r="AT51" s="113"/>
      <c r="AU51" s="113"/>
      <c r="AV51" s="113"/>
      <c r="AW51" s="113"/>
      <c r="AX51" s="114"/>
      <c r="AY51" s="89"/>
      <c r="AZ51" s="129"/>
      <c r="BA51" s="50"/>
      <c r="BB51" s="122"/>
      <c r="BC51" s="123"/>
      <c r="BD51" s="123"/>
      <c r="BE51" s="123"/>
      <c r="BF51" s="123"/>
      <c r="BG51" s="123"/>
      <c r="BH51" s="123"/>
      <c r="BI51" s="124"/>
      <c r="BJ51" s="50"/>
      <c r="BK51" s="80">
        <f>N51/ATP_Conditions!$C$8</f>
        <v>3.2857142857142856</v>
      </c>
    </row>
    <row r="52" spans="1:63" ht="15" thickBot="1" x14ac:dyDescent="0.4">
      <c r="A52" s="30">
        <f t="shared" si="21"/>
        <v>48</v>
      </c>
      <c r="B52" s="81">
        <f t="shared" si="0"/>
        <v>49</v>
      </c>
      <c r="C52" s="82">
        <f t="shared" si="22"/>
        <v>46356</v>
      </c>
      <c r="D52" s="83" t="str">
        <f t="shared" si="1"/>
        <v>49-2026</v>
      </c>
      <c r="E52" s="84" t="str">
        <f>_xlfn.IFNA(VLOOKUP(D52,Race_Calendar!D:F,2,FALSE),"-")</f>
        <v>-</v>
      </c>
      <c r="F52" s="81" t="str">
        <f>_xlfn.IFNA(VLOOKUP($D52,Race_Calendar!$D:$F,3,FALSE),"-")</f>
        <v>-</v>
      </c>
      <c r="G52" s="175" t="str">
        <f>_xlfn.IFNA(VLOOKUP($D52,Race_Calendar!$D:$G,4,FALSE),"-")</f>
        <v>-</v>
      </c>
      <c r="H52" s="85"/>
      <c r="I52" s="104" t="s">
        <v>77</v>
      </c>
      <c r="J52" s="200"/>
      <c r="K52" s="105" t="str">
        <f t="shared" si="23"/>
        <v>Trans</v>
      </c>
      <c r="L52" s="86"/>
      <c r="M52" s="83"/>
      <c r="N52" s="87">
        <f>VLOOKUP(K52,ATP_Conditions!M:N,2,FALSE)</f>
        <v>230</v>
      </c>
      <c r="O52" s="30">
        <f ca="1">SUM(T52,W52,Z52,AC52,AF52,AI52,AL52,AO52)+ATP_Conditions!$C$7</f>
        <v>0</v>
      </c>
      <c r="P52" s="31">
        <f t="shared" ca="1" si="24"/>
        <v>0</v>
      </c>
      <c r="Q52" s="75">
        <f t="shared" ca="1" si="25"/>
        <v>-230</v>
      </c>
      <c r="R52" s="76">
        <f t="shared" ca="1" si="4"/>
        <v>-230</v>
      </c>
      <c r="S52" s="88">
        <f t="shared" ca="1" si="5"/>
        <v>0</v>
      </c>
      <c r="T52" s="106">
        <f t="shared" ca="1" si="6"/>
        <v>0</v>
      </c>
      <c r="U52" s="78" cm="1">
        <f t="array" aca="1" ref="U52" ca="1">IF(T$3="None",0,(INDIRECT("TABLE_WTL[@[" &amp; U$4 &amp; "]]")))</f>
        <v>0</v>
      </c>
      <c r="V52" s="88">
        <f t="shared" ca="1" si="7"/>
        <v>0</v>
      </c>
      <c r="W52" s="106">
        <f t="shared" ca="1" si="8"/>
        <v>0</v>
      </c>
      <c r="X52" s="78" cm="1">
        <f t="array" aca="1" ref="X52" ca="1">IF(W$3="None",0,(INDIRECT("TABLE_WTL[@[" &amp; X$4 &amp; "]]")))</f>
        <v>0</v>
      </c>
      <c r="Y52" s="88">
        <f t="shared" ca="1" si="9"/>
        <v>0</v>
      </c>
      <c r="Z52" s="106">
        <f t="shared" ca="1" si="10"/>
        <v>0</v>
      </c>
      <c r="AA52" s="78" cm="1">
        <f t="array" aca="1" ref="AA52" ca="1">IF(Z$3="None",0,(INDIRECT("TABLE_WTL[@[" &amp; AA$4 &amp; "]]")))</f>
        <v>0</v>
      </c>
      <c r="AB52" s="88">
        <f t="shared" ca="1" si="11"/>
        <v>0</v>
      </c>
      <c r="AC52" s="106">
        <f t="shared" ca="1" si="12"/>
        <v>0</v>
      </c>
      <c r="AD52" s="78" cm="1">
        <f t="array" aca="1" ref="AD52" ca="1">IF(AC$3="None",0,(INDIRECT("TABLE_WTL[@[" &amp; AD$4 &amp; "]]")))</f>
        <v>0</v>
      </c>
      <c r="AE52" s="88">
        <f t="shared" ca="1" si="13"/>
        <v>0</v>
      </c>
      <c r="AF52" s="106">
        <f t="shared" ca="1" si="14"/>
        <v>0</v>
      </c>
      <c r="AG52" s="78" cm="1">
        <f t="array" aca="1" ref="AG52" ca="1">IF(AF$3="None",0,(INDIRECT("TABLE_WTL[@[" &amp; AG$4 &amp; "]]")))</f>
        <v>0</v>
      </c>
      <c r="AH52" s="88">
        <f t="shared" ca="1" si="15"/>
        <v>0</v>
      </c>
      <c r="AI52" s="106">
        <f t="shared" ca="1" si="16"/>
        <v>0</v>
      </c>
      <c r="AJ52" s="78" cm="1">
        <f t="array" aca="1" ref="AJ52" ca="1">IF(AI$3="None",0,(INDIRECT("TABLE_WTL[@[" &amp; AJ$4 &amp; "]]")))</f>
        <v>0</v>
      </c>
      <c r="AK52" s="88">
        <f t="shared" ca="1" si="17"/>
        <v>0</v>
      </c>
      <c r="AL52" s="106">
        <f t="shared" ca="1" si="18"/>
        <v>0</v>
      </c>
      <c r="AM52" s="78" cm="1">
        <f t="array" aca="1" ref="AM52" ca="1">IF(AL$3="None",0,(INDIRECT("TABLE_WTL[@[" &amp; AM$4 &amp; "]]")))</f>
        <v>0</v>
      </c>
      <c r="AN52" s="88">
        <f t="shared" ca="1" si="19"/>
        <v>0</v>
      </c>
      <c r="AO52" s="106">
        <f t="shared" ca="1" si="20"/>
        <v>0</v>
      </c>
      <c r="AP52" s="78" cm="1">
        <f t="array" aca="1" ref="AP52" ca="1">IF(AO$3="None",0,(INDIRECT("TABLE_WTL[@[" &amp; AP$4 &amp; "]]")))</f>
        <v>0</v>
      </c>
      <c r="AQ52" s="89"/>
      <c r="AR52" s="109"/>
      <c r="AS52" s="113"/>
      <c r="AT52" s="113"/>
      <c r="AU52" s="113"/>
      <c r="AV52" s="113"/>
      <c r="AW52" s="113"/>
      <c r="AX52" s="114"/>
      <c r="AY52" s="89"/>
      <c r="AZ52" s="129"/>
      <c r="BA52" s="50"/>
      <c r="BB52" s="122"/>
      <c r="BC52" s="123"/>
      <c r="BD52" s="123"/>
      <c r="BE52" s="123"/>
      <c r="BF52" s="123"/>
      <c r="BG52" s="123"/>
      <c r="BH52" s="123"/>
      <c r="BI52" s="124"/>
      <c r="BJ52" s="50"/>
      <c r="BK52" s="80">
        <f>N52/ATP_Conditions!$C$8</f>
        <v>3.2857142857142856</v>
      </c>
    </row>
    <row r="53" spans="1:63" ht="15" thickBot="1" x14ac:dyDescent="0.4">
      <c r="A53" s="30">
        <f t="shared" si="21"/>
        <v>49</v>
      </c>
      <c r="B53" s="81">
        <f t="shared" si="0"/>
        <v>50</v>
      </c>
      <c r="C53" s="82">
        <f t="shared" si="22"/>
        <v>46363</v>
      </c>
      <c r="D53" s="83" t="str">
        <f t="shared" si="1"/>
        <v>50-2026</v>
      </c>
      <c r="E53" s="84" t="str">
        <f>_xlfn.IFNA(VLOOKUP(D53,Race_Calendar!D:F,2,FALSE),"-")</f>
        <v>-</v>
      </c>
      <c r="F53" s="81" t="str">
        <f>_xlfn.IFNA(VLOOKUP($D53,Race_Calendar!$D:$F,3,FALSE),"-")</f>
        <v>-</v>
      </c>
      <c r="G53" s="175" t="str">
        <f>_xlfn.IFNA(VLOOKUP($D53,Race_Calendar!$D:$G,4,FALSE),"-")</f>
        <v>-</v>
      </c>
      <c r="H53" s="85"/>
      <c r="I53" s="104" t="s">
        <v>77</v>
      </c>
      <c r="J53" s="200"/>
      <c r="K53" s="105" t="str">
        <f t="shared" si="23"/>
        <v>Trans</v>
      </c>
      <c r="L53" s="86"/>
      <c r="M53" s="83"/>
      <c r="N53" s="87">
        <f>VLOOKUP(K53,ATP_Conditions!M:N,2,FALSE)</f>
        <v>230</v>
      </c>
      <c r="O53" s="30">
        <f ca="1">SUM(T53,W53,Z53,AC53,AF53,AI53,AL53,AO53)+ATP_Conditions!$C$7</f>
        <v>0</v>
      </c>
      <c r="P53" s="31">
        <f t="shared" ca="1" si="24"/>
        <v>0</v>
      </c>
      <c r="Q53" s="75">
        <f t="shared" ca="1" si="25"/>
        <v>-230</v>
      </c>
      <c r="R53" s="76">
        <f t="shared" ca="1" si="4"/>
        <v>-230</v>
      </c>
      <c r="S53" s="88">
        <f t="shared" ca="1" si="5"/>
        <v>0</v>
      </c>
      <c r="T53" s="106">
        <f t="shared" ca="1" si="6"/>
        <v>0</v>
      </c>
      <c r="U53" s="78" cm="1">
        <f t="array" aca="1" ref="U53" ca="1">IF(T$3="None",0,(INDIRECT("TABLE_WTL[@[" &amp; U$4 &amp; "]]")))</f>
        <v>0</v>
      </c>
      <c r="V53" s="88">
        <f t="shared" ca="1" si="7"/>
        <v>0</v>
      </c>
      <c r="W53" s="106">
        <f t="shared" ca="1" si="8"/>
        <v>0</v>
      </c>
      <c r="X53" s="78" cm="1">
        <f t="array" aca="1" ref="X53" ca="1">IF(W$3="None",0,(INDIRECT("TABLE_WTL[@[" &amp; X$4 &amp; "]]")))</f>
        <v>0</v>
      </c>
      <c r="Y53" s="88">
        <f t="shared" ca="1" si="9"/>
        <v>0</v>
      </c>
      <c r="Z53" s="106">
        <f t="shared" ca="1" si="10"/>
        <v>0</v>
      </c>
      <c r="AA53" s="78" cm="1">
        <f t="array" aca="1" ref="AA53" ca="1">IF(Z$3="None",0,(INDIRECT("TABLE_WTL[@[" &amp; AA$4 &amp; "]]")))</f>
        <v>0</v>
      </c>
      <c r="AB53" s="88">
        <f t="shared" ca="1" si="11"/>
        <v>0</v>
      </c>
      <c r="AC53" s="106">
        <f t="shared" ca="1" si="12"/>
        <v>0</v>
      </c>
      <c r="AD53" s="78" cm="1">
        <f t="array" aca="1" ref="AD53" ca="1">IF(AC$3="None",0,(INDIRECT("TABLE_WTL[@[" &amp; AD$4 &amp; "]]")))</f>
        <v>0</v>
      </c>
      <c r="AE53" s="88">
        <f t="shared" ca="1" si="13"/>
        <v>0</v>
      </c>
      <c r="AF53" s="106">
        <f t="shared" ca="1" si="14"/>
        <v>0</v>
      </c>
      <c r="AG53" s="78" cm="1">
        <f t="array" aca="1" ref="AG53" ca="1">IF(AF$3="None",0,(INDIRECT("TABLE_WTL[@[" &amp; AG$4 &amp; "]]")))</f>
        <v>0</v>
      </c>
      <c r="AH53" s="88">
        <f t="shared" ca="1" si="15"/>
        <v>0</v>
      </c>
      <c r="AI53" s="106">
        <f t="shared" ca="1" si="16"/>
        <v>0</v>
      </c>
      <c r="AJ53" s="78" cm="1">
        <f t="array" aca="1" ref="AJ53" ca="1">IF(AI$3="None",0,(INDIRECT("TABLE_WTL[@[" &amp; AJ$4 &amp; "]]")))</f>
        <v>0</v>
      </c>
      <c r="AK53" s="88">
        <f t="shared" ca="1" si="17"/>
        <v>0</v>
      </c>
      <c r="AL53" s="106">
        <f t="shared" ca="1" si="18"/>
        <v>0</v>
      </c>
      <c r="AM53" s="78" cm="1">
        <f t="array" aca="1" ref="AM53" ca="1">IF(AL$3="None",0,(INDIRECT("TABLE_WTL[@[" &amp; AM$4 &amp; "]]")))</f>
        <v>0</v>
      </c>
      <c r="AN53" s="88">
        <f t="shared" ca="1" si="19"/>
        <v>0</v>
      </c>
      <c r="AO53" s="106">
        <f t="shared" ca="1" si="20"/>
        <v>0</v>
      </c>
      <c r="AP53" s="78" cm="1">
        <f t="array" aca="1" ref="AP53" ca="1">IF(AO$3="None",0,(INDIRECT("TABLE_WTL[@[" &amp; AP$4 &amp; "]]")))</f>
        <v>0</v>
      </c>
      <c r="AQ53" s="89"/>
      <c r="AR53" s="109"/>
      <c r="AS53" s="113"/>
      <c r="AT53" s="113"/>
      <c r="AU53" s="113"/>
      <c r="AV53" s="113"/>
      <c r="AW53" s="113"/>
      <c r="AX53" s="114"/>
      <c r="AY53" s="89"/>
      <c r="AZ53" s="129"/>
      <c r="BA53" s="50"/>
      <c r="BB53" s="122"/>
      <c r="BC53" s="123"/>
      <c r="BD53" s="123"/>
      <c r="BE53" s="123"/>
      <c r="BF53" s="123"/>
      <c r="BG53" s="123"/>
      <c r="BH53" s="123"/>
      <c r="BI53" s="124"/>
      <c r="BJ53" s="50"/>
      <c r="BK53" s="80">
        <f>N53/ATP_Conditions!$C$8</f>
        <v>3.2857142857142856</v>
      </c>
    </row>
    <row r="54" spans="1:63" ht="15" thickBot="1" x14ac:dyDescent="0.4">
      <c r="A54" s="30">
        <f t="shared" si="21"/>
        <v>50</v>
      </c>
      <c r="B54" s="81">
        <f t="shared" si="0"/>
        <v>51</v>
      </c>
      <c r="C54" s="82">
        <f t="shared" si="22"/>
        <v>46370</v>
      </c>
      <c r="D54" s="83" t="str">
        <f t="shared" si="1"/>
        <v>51-2026</v>
      </c>
      <c r="E54" s="84" t="str">
        <f>_xlfn.IFNA(VLOOKUP(D54,Race_Calendar!D:F,2,FALSE),"-")</f>
        <v>-</v>
      </c>
      <c r="F54" s="84" t="str">
        <f>_xlfn.IFNA(VLOOKUP(E54,Race_Calendar!E:F,2,FALSE),"-")</f>
        <v>-</v>
      </c>
      <c r="G54" s="175" t="str">
        <f>_xlfn.IFNA(VLOOKUP($D54,Race_Calendar!$D:$G,4,FALSE),"-")</f>
        <v>-</v>
      </c>
      <c r="H54" s="85"/>
      <c r="I54" s="104" t="s">
        <v>77</v>
      </c>
      <c r="J54" s="200"/>
      <c r="K54" s="105" t="str">
        <f t="shared" si="23"/>
        <v>Trans</v>
      </c>
      <c r="L54" s="86"/>
      <c r="M54" s="83"/>
      <c r="N54" s="87">
        <f>VLOOKUP(K54,ATP_Conditions!M:N,2,FALSE)</f>
        <v>230</v>
      </c>
      <c r="O54" s="30">
        <f ca="1">SUM(T54,W54,Z54,AC54,AF54,AI54,AL54,AO54)+ATP_Conditions!$C$7</f>
        <v>0</v>
      </c>
      <c r="P54" s="31">
        <f t="shared" ca="1" si="24"/>
        <v>0</v>
      </c>
      <c r="Q54" s="75">
        <f t="shared" ca="1" si="25"/>
        <v>-230</v>
      </c>
      <c r="R54" s="76">
        <f t="shared" ca="1" si="4"/>
        <v>-230</v>
      </c>
      <c r="S54" s="88">
        <f t="shared" ca="1" si="5"/>
        <v>0</v>
      </c>
      <c r="T54" s="106">
        <f t="shared" ca="1" si="6"/>
        <v>0</v>
      </c>
      <c r="U54" s="78" cm="1">
        <f t="array" aca="1" ref="U54" ca="1">IF(T$3="None",0,(INDIRECT("TABLE_WTL[@[" &amp; U$4 &amp; "]]")))</f>
        <v>0</v>
      </c>
      <c r="V54" s="88">
        <f t="shared" ca="1" si="7"/>
        <v>0</v>
      </c>
      <c r="W54" s="106">
        <f t="shared" ca="1" si="8"/>
        <v>0</v>
      </c>
      <c r="X54" s="78" cm="1">
        <f t="array" aca="1" ref="X54" ca="1">IF(W$3="None",0,(INDIRECT("TABLE_WTL[@[" &amp; X$4 &amp; "]]")))</f>
        <v>0</v>
      </c>
      <c r="Y54" s="88">
        <f t="shared" ca="1" si="9"/>
        <v>0</v>
      </c>
      <c r="Z54" s="106">
        <f t="shared" ca="1" si="10"/>
        <v>0</v>
      </c>
      <c r="AA54" s="78" cm="1">
        <f t="array" aca="1" ref="AA54" ca="1">IF(Z$3="None",0,(INDIRECT("TABLE_WTL[@[" &amp; AA$4 &amp; "]]")))</f>
        <v>0</v>
      </c>
      <c r="AB54" s="88">
        <f t="shared" ca="1" si="11"/>
        <v>0</v>
      </c>
      <c r="AC54" s="106">
        <f t="shared" ca="1" si="12"/>
        <v>0</v>
      </c>
      <c r="AD54" s="78" cm="1">
        <f t="array" aca="1" ref="AD54" ca="1">IF(AC$3="None",0,(INDIRECT("TABLE_WTL[@[" &amp; AD$4 &amp; "]]")))</f>
        <v>0</v>
      </c>
      <c r="AE54" s="88">
        <f t="shared" ca="1" si="13"/>
        <v>0</v>
      </c>
      <c r="AF54" s="106">
        <f t="shared" ca="1" si="14"/>
        <v>0</v>
      </c>
      <c r="AG54" s="78" cm="1">
        <f t="array" aca="1" ref="AG54" ca="1">IF(AF$3="None",0,(INDIRECT("TABLE_WTL[@[" &amp; AG$4 &amp; "]]")))</f>
        <v>0</v>
      </c>
      <c r="AH54" s="88">
        <f t="shared" ca="1" si="15"/>
        <v>0</v>
      </c>
      <c r="AI54" s="106">
        <f t="shared" ca="1" si="16"/>
        <v>0</v>
      </c>
      <c r="AJ54" s="78" cm="1">
        <f t="array" aca="1" ref="AJ54" ca="1">IF(AI$3="None",0,(INDIRECT("TABLE_WTL[@[" &amp; AJ$4 &amp; "]]")))</f>
        <v>0</v>
      </c>
      <c r="AK54" s="88">
        <f t="shared" ca="1" si="17"/>
        <v>0</v>
      </c>
      <c r="AL54" s="106">
        <f t="shared" ca="1" si="18"/>
        <v>0</v>
      </c>
      <c r="AM54" s="78" cm="1">
        <f t="array" aca="1" ref="AM54" ca="1">IF(AL$3="None",0,(INDIRECT("TABLE_WTL[@[" &amp; AM$4 &amp; "]]")))</f>
        <v>0</v>
      </c>
      <c r="AN54" s="88">
        <f t="shared" ca="1" si="19"/>
        <v>0</v>
      </c>
      <c r="AO54" s="106">
        <f t="shared" ca="1" si="20"/>
        <v>0</v>
      </c>
      <c r="AP54" s="78" cm="1">
        <f t="array" aca="1" ref="AP54" ca="1">IF(AO$3="None",0,(INDIRECT("TABLE_WTL[@[" &amp; AP$4 &amp; "]]")))</f>
        <v>0</v>
      </c>
      <c r="AQ54" s="89"/>
      <c r="AR54" s="109"/>
      <c r="AS54" s="113"/>
      <c r="AT54" s="113"/>
      <c r="AU54" s="113"/>
      <c r="AV54" s="113"/>
      <c r="AW54" s="113"/>
      <c r="AX54" s="114"/>
      <c r="AY54" s="89"/>
      <c r="AZ54" s="129"/>
      <c r="BA54" s="50"/>
      <c r="BB54" s="122"/>
      <c r="BC54" s="123"/>
      <c r="BD54" s="123"/>
      <c r="BE54" s="123"/>
      <c r="BF54" s="123"/>
      <c r="BG54" s="123"/>
      <c r="BH54" s="123"/>
      <c r="BI54" s="124"/>
      <c r="BJ54" s="50"/>
      <c r="BK54" s="80">
        <f>N54/ATP_Conditions!$C$8</f>
        <v>3.2857142857142856</v>
      </c>
    </row>
    <row r="55" spans="1:63" ht="15" thickBot="1" x14ac:dyDescent="0.4">
      <c r="A55" s="30">
        <f t="shared" si="21"/>
        <v>51</v>
      </c>
      <c r="B55" s="81">
        <f t="shared" ref="B55" si="26">WEEKNUM(C55,2)</f>
        <v>52</v>
      </c>
      <c r="C55" s="82">
        <f t="shared" si="22"/>
        <v>46377</v>
      </c>
      <c r="D55" s="83" t="str">
        <f t="shared" si="1"/>
        <v>52-2026</v>
      </c>
      <c r="E55" s="84" t="str">
        <f>_xlfn.IFNA(VLOOKUP(D55,Race_Calendar!D:F,2,FALSE),"-")</f>
        <v>-</v>
      </c>
      <c r="F55" s="81"/>
      <c r="G55" s="175" t="str">
        <f>_xlfn.IFNA(VLOOKUP($D55,Race_Calendar!$D:$G,4,FALSE),"-")</f>
        <v>-</v>
      </c>
      <c r="H55" s="85"/>
      <c r="I55" s="104" t="s">
        <v>77</v>
      </c>
      <c r="J55" s="200"/>
      <c r="K55" s="105" t="str">
        <f t="shared" si="23"/>
        <v>Trans</v>
      </c>
      <c r="L55" s="86"/>
      <c r="M55" s="83"/>
      <c r="N55" s="87">
        <f>VLOOKUP(K55,ATP_Conditions!M:N,2,FALSE)</f>
        <v>230</v>
      </c>
      <c r="O55" s="30" t="e">
        <f ca="1">SUM(T55,W55,Z55,AC55,AF55,AI55,AL55,AO55)+ATP_Conditions!$C$7</f>
        <v>#REF!</v>
      </c>
      <c r="P55" s="31" t="e">
        <f t="shared" ca="1" si="24"/>
        <v>#REF!</v>
      </c>
      <c r="Q55" s="75" t="e">
        <f t="shared" ca="1" si="25"/>
        <v>#REF!</v>
      </c>
      <c r="R55" s="76" t="e">
        <f t="shared" ca="1" si="4"/>
        <v>#REF!</v>
      </c>
      <c r="S55" s="88"/>
      <c r="T55" s="106">
        <f t="shared" si="6"/>
        <v>0</v>
      </c>
      <c r="U55" s="78"/>
      <c r="V55" s="88"/>
      <c r="W55" s="106" t="e">
        <f t="shared" ca="1" si="8"/>
        <v>#REF!</v>
      </c>
      <c r="X55" s="78" t="e" cm="1">
        <f t="array" aca="1" ref="X55" ca="1">IF(W$3="None",0,(INDIRECT("TABLE_WTL[@[" &amp; X$4 &amp; "]]")))</f>
        <v>#REF!</v>
      </c>
      <c r="Y55" s="88"/>
      <c r="Z55" s="106" t="e">
        <f t="shared" ca="1" si="10"/>
        <v>#REF!</v>
      </c>
      <c r="AA55" s="78" t="e" cm="1">
        <f t="array" aca="1" ref="AA55" ca="1">IF(Z$3="None",0,(INDIRECT("TABLE_WTL[@[" &amp; AA$4 &amp; "]]")))</f>
        <v>#REF!</v>
      </c>
      <c r="AB55" s="88" t="e">
        <f t="shared" ref="AB55" ca="1" si="27">MROUND(AC55,5)</f>
        <v>#REF!</v>
      </c>
      <c r="AC55" s="106" t="e">
        <f t="shared" ca="1" si="12"/>
        <v>#REF!</v>
      </c>
      <c r="AD55" s="78" t="e" cm="1">
        <f t="array" aca="1" ref="AD55" ca="1">IF(AC$3="None",0,(INDIRECT("TABLE_WTL[@[" &amp; AD$4 &amp; "]]")))</f>
        <v>#REF!</v>
      </c>
      <c r="AE55" s="88" t="e">
        <f t="shared" ref="AE55" ca="1" si="28">MROUND(AF55,5)</f>
        <v>#REF!</v>
      </c>
      <c r="AF55" s="106" t="e">
        <f t="shared" ca="1" si="14"/>
        <v>#REF!</v>
      </c>
      <c r="AG55" s="78" t="e" cm="1">
        <f t="array" aca="1" ref="AG55" ca="1">IF(AF$3="None",0,(INDIRECT("TABLE_WTL[@[" &amp; AG$4 &amp; "]]")))</f>
        <v>#REF!</v>
      </c>
      <c r="AH55" s="88">
        <f t="shared" ref="AH55" ca="1" si="29">MROUND(AI55,5)</f>
        <v>0</v>
      </c>
      <c r="AI55" s="106">
        <f t="shared" ca="1" si="16"/>
        <v>0</v>
      </c>
      <c r="AJ55" s="78" cm="1">
        <f t="array" aca="1" ref="AJ55" ca="1">IF(AI$3="None",0,(INDIRECT("TABLE_WTL[@[" &amp; AJ$4 &amp; "]]")))</f>
        <v>0</v>
      </c>
      <c r="AK55" s="88">
        <v>0</v>
      </c>
      <c r="AL55" s="106">
        <f t="shared" ca="1" si="18"/>
        <v>0</v>
      </c>
      <c r="AM55" s="78" cm="1">
        <f t="array" aca="1" ref="AM55" ca="1">IF(AL$3="None",0,(INDIRECT("TABLE_WTL[@[" &amp; AM$4 &amp; "]]")))</f>
        <v>0</v>
      </c>
      <c r="AN55" s="88">
        <f t="shared" ref="AN55" ca="1" si="30">MROUND(AO55,5)</f>
        <v>0</v>
      </c>
      <c r="AO55" s="106">
        <f t="shared" ca="1" si="20"/>
        <v>0</v>
      </c>
      <c r="AP55" s="78" cm="1">
        <f t="array" aca="1" ref="AP55" ca="1">IF(AO$3="None",0,(INDIRECT("TABLE_WTL[@[" &amp; AP$4 &amp; "]]")))</f>
        <v>0</v>
      </c>
      <c r="AQ55" s="89"/>
      <c r="AR55" s="109"/>
      <c r="AS55" s="113"/>
      <c r="AT55" s="113"/>
      <c r="AU55" s="113"/>
      <c r="AV55" s="113"/>
      <c r="AW55" s="113"/>
      <c r="AX55" s="114"/>
      <c r="AY55" s="89"/>
      <c r="AZ55" s="129"/>
      <c r="BA55" s="50"/>
      <c r="BB55" s="122"/>
      <c r="BC55" s="123"/>
      <c r="BD55" s="123"/>
      <c r="BE55" s="123"/>
      <c r="BF55" s="123"/>
      <c r="BG55" s="123"/>
      <c r="BH55" s="123"/>
      <c r="BI55" s="124"/>
      <c r="BJ55" s="50"/>
      <c r="BK55" s="80"/>
    </row>
    <row r="56" spans="1:63" ht="15" thickBot="1" x14ac:dyDescent="0.4">
      <c r="A56" s="30"/>
      <c r="B56" s="81"/>
      <c r="C56" s="82"/>
      <c r="D56" s="83"/>
      <c r="E56" s="84"/>
      <c r="F56" s="81"/>
      <c r="G56" s="175"/>
      <c r="H56" s="85"/>
      <c r="I56" s="104"/>
      <c r="J56" s="200"/>
      <c r="K56" s="105"/>
      <c r="L56" s="86"/>
      <c r="M56" s="83"/>
      <c r="N56" s="87"/>
      <c r="O56" s="30"/>
      <c r="P56" s="31"/>
      <c r="Q56" s="75"/>
      <c r="R56" s="76"/>
      <c r="S56" s="88"/>
      <c r="T56" s="106">
        <f t="shared" si="6"/>
        <v>0</v>
      </c>
      <c r="U56" s="78"/>
      <c r="V56" s="88"/>
      <c r="W56" s="106">
        <f t="shared" si="8"/>
        <v>0</v>
      </c>
      <c r="X56" s="78"/>
      <c r="Y56" s="88"/>
      <c r="Z56" s="106">
        <f t="shared" si="10"/>
        <v>0</v>
      </c>
      <c r="AA56" s="78"/>
      <c r="AB56" s="88"/>
      <c r="AC56" s="106">
        <f t="shared" si="12"/>
        <v>0</v>
      </c>
      <c r="AD56" s="78"/>
      <c r="AE56" s="88"/>
      <c r="AF56" s="106">
        <f t="shared" si="14"/>
        <v>0</v>
      </c>
      <c r="AG56" s="78"/>
      <c r="AH56" s="88"/>
      <c r="AI56" s="106">
        <f t="shared" si="16"/>
        <v>0</v>
      </c>
      <c r="AJ56" s="78"/>
      <c r="AK56" s="88"/>
      <c r="AL56" s="106">
        <f t="shared" si="18"/>
        <v>0</v>
      </c>
      <c r="AM56" s="78"/>
      <c r="AN56" s="88"/>
      <c r="AO56" s="106">
        <f t="shared" si="20"/>
        <v>0</v>
      </c>
      <c r="AP56" s="78"/>
      <c r="AQ56" s="89"/>
      <c r="AR56" s="109"/>
      <c r="AS56" s="113"/>
      <c r="AT56" s="113"/>
      <c r="AU56" s="113"/>
      <c r="AV56" s="113"/>
      <c r="AW56" s="113"/>
      <c r="AX56" s="114"/>
      <c r="AY56" s="89"/>
      <c r="AZ56" s="129"/>
      <c r="BA56" s="50"/>
      <c r="BB56" s="122"/>
      <c r="BC56" s="123"/>
      <c r="BD56" s="123"/>
      <c r="BE56" s="123"/>
      <c r="BF56" s="123"/>
      <c r="BG56" s="123"/>
      <c r="BH56" s="123"/>
      <c r="BI56" s="124"/>
      <c r="BJ56" s="50"/>
      <c r="BK56" s="80"/>
    </row>
    <row r="57" spans="1:63" ht="15" thickBot="1" x14ac:dyDescent="0.4">
      <c r="A57" s="30"/>
      <c r="B57" s="81"/>
      <c r="C57" s="82"/>
      <c r="D57" s="83"/>
      <c r="E57" s="202"/>
      <c r="F57" s="163"/>
      <c r="G57" s="175"/>
      <c r="H57" s="165"/>
      <c r="I57" s="166"/>
      <c r="J57" s="201"/>
      <c r="K57" s="167"/>
      <c r="L57" s="168"/>
      <c r="M57" s="164"/>
      <c r="N57" s="169"/>
      <c r="O57" s="162"/>
      <c r="P57" s="170"/>
      <c r="Q57" s="171"/>
      <c r="R57" s="76"/>
      <c r="S57" s="88"/>
      <c r="T57" s="106"/>
      <c r="U57" s="78"/>
      <c r="V57" s="88"/>
      <c r="W57" s="106"/>
      <c r="X57" s="78"/>
      <c r="Y57" s="88"/>
      <c r="Z57" s="106"/>
      <c r="AA57" s="78"/>
      <c r="AB57" s="88"/>
      <c r="AC57" s="106"/>
      <c r="AD57" s="78"/>
      <c r="AE57" s="88"/>
      <c r="AF57" s="106"/>
      <c r="AG57" s="78"/>
      <c r="AH57" s="88"/>
      <c r="AI57" s="106"/>
      <c r="AJ57" s="78"/>
      <c r="AK57" s="88"/>
      <c r="AL57" s="106"/>
      <c r="AM57" s="78"/>
      <c r="AN57" s="88"/>
      <c r="AO57" s="106"/>
      <c r="AP57" s="78"/>
      <c r="AQ57" s="89"/>
      <c r="AR57" s="109"/>
      <c r="AS57" s="113"/>
      <c r="AT57" s="113"/>
      <c r="AU57" s="113"/>
      <c r="AV57" s="113"/>
      <c r="AW57" s="113"/>
      <c r="AX57" s="114"/>
      <c r="AY57" s="89"/>
      <c r="AZ57" s="129"/>
      <c r="BA57" s="50"/>
      <c r="BB57" s="122"/>
      <c r="BC57" s="123"/>
      <c r="BD57" s="123"/>
      <c r="BE57" s="123"/>
      <c r="BF57" s="123"/>
      <c r="BG57" s="123"/>
      <c r="BH57" s="123"/>
      <c r="BI57" s="124"/>
      <c r="BJ57" s="50"/>
      <c r="BK57" s="80"/>
    </row>
    <row r="58" spans="1:63" x14ac:dyDescent="0.35">
      <c r="A58" s="173"/>
      <c r="B58" s="173"/>
      <c r="C58" s="17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00"/>
      <c r="I120"/>
      <c r="J120" s="101"/>
      <c r="K120" s="101"/>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c r="AQ120" s="102"/>
      <c r="AR120" s="102"/>
      <c r="AY120" s="102"/>
      <c r="AZ120" s="102"/>
    </row>
    <row r="121" spans="3:52" x14ac:dyDescent="0.35">
      <c r="J121" s="101"/>
      <c r="K121" s="101"/>
    </row>
  </sheetData>
  <mergeCells count="21">
    <mergeCell ref="I3:I4"/>
    <mergeCell ref="J3:J4"/>
    <mergeCell ref="A3:A4"/>
    <mergeCell ref="B3:B4"/>
    <mergeCell ref="C3:C4"/>
    <mergeCell ref="D3:D4"/>
    <mergeCell ref="E3:E4"/>
    <mergeCell ref="F3:F4"/>
    <mergeCell ref="G3:G4"/>
    <mergeCell ref="T2:AP2"/>
    <mergeCell ref="O3:R3"/>
    <mergeCell ref="AR3:AX3"/>
    <mergeCell ref="BB2:BI2"/>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18" priority="32"/>
  </conditionalFormatting>
  <conditionalFormatting sqref="I5:K57">
    <cfRule type="expression" dxfId="17" priority="6">
      <formula>$I5="Build 2"</formula>
    </cfRule>
    <cfRule type="expression" dxfId="16" priority="7">
      <formula>$I5="Build 1"</formula>
    </cfRule>
    <cfRule type="expression" dxfId="15" priority="8">
      <formula>$I5="Base 3"</formula>
    </cfRule>
    <cfRule type="expression" dxfId="14" priority="9">
      <formula>$I5="Base 1"</formula>
    </cfRule>
    <cfRule type="expression" dxfId="13" priority="10">
      <formula>$I5="Base 2"</formula>
    </cfRule>
    <cfRule type="expression" dxfId="12" priority="11">
      <formula>$I5="Taper"</formula>
    </cfRule>
    <cfRule type="expression" dxfId="11" priority="12">
      <formula>$I5="Trans"</formula>
    </cfRule>
    <cfRule type="expression" dxfId="10" priority="13">
      <formula>$I5="Prep"</formula>
    </cfRule>
    <cfRule type="expression" dxfId="9" priority="14">
      <formula>$I5="Race"</formula>
    </cfRule>
    <cfRule type="expression" dxfId="8" priority="15">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6" id="{9C5701A1-58F4-44C2-8290-64495728A5B3}">
            <xm:f>AND(Q5&gt;=-(ATP_Conditions!$C$10),Q5&lt;=(ATP_Conditions!$C$10))</xm:f>
            <x14:dxf>
              <fill>
                <patternFill>
                  <bgColor rgb="FF92D050"/>
                </patternFill>
              </fill>
            </x14:dxf>
          </x14:cfRule>
          <x14:cfRule type="expression" priority="147" id="{8DE8FE13-A010-4575-AFF4-A09D4DFC9F34}">
            <xm:f>AND(Q5&gt;(ATP_Conditions!$C$10),Q5&lt;(ATP_Conditions!$C$11))</xm:f>
            <x14:dxf>
              <fill>
                <patternFill>
                  <bgColor rgb="FFFFC000"/>
                </patternFill>
              </fill>
            </x14:dxf>
          </x14:cfRule>
          <x14:cfRule type="expression" priority="148" id="{8E3AA47F-3CCD-4C4F-AB64-1CC74108A573}">
            <xm:f>Q5&gt;=(ATP_Conditions!$C$11)</xm:f>
            <x14:dxf>
              <fill>
                <patternFill>
                  <bgColor rgb="FFFF0000"/>
                </patternFill>
              </fill>
            </x14:dxf>
          </x14:cfRule>
          <x14:cfRule type="expression" priority="149" id="{50AE348A-97CA-4D54-9C50-978AA5191F0B}">
            <xm:f>Q5&lt;=-(ATP_Conditions!$C$11)</xm:f>
            <x14:dxf>
              <fill>
                <patternFill>
                  <bgColor rgb="FFFF0000"/>
                </patternFill>
              </fill>
            </x14:dxf>
          </x14:cfRule>
          <x14:cfRule type="expression" priority="150"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4"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3"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2"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 BB3:BI3</xm:sqref>
        </x14:dataValidation>
        <x14:dataValidation type="list" allowBlank="1" showInputMessage="1" showErrorMessage="1" xr:uid="{1B6EB340-4336-4F99-BD0D-2398DAEDA000}">
          <x14:formula1>
            <xm:f>Lists!$H$2:$H$17</xm:f>
          </x14:formula1>
          <xm:sqref>AZ5:AZ57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workbookViewId="0">
      <selection activeCell="E2" sqref="E2"/>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6.81640625" customWidth="1"/>
    <col min="6" max="6" width="4.1796875" bestFit="1" customWidth="1"/>
    <col min="7" max="7" width="14.6328125" bestFit="1" customWidth="1"/>
    <col min="8" max="8" width="18.90625" bestFit="1" customWidth="1"/>
    <col min="9" max="12" width="3.1796875" customWidth="1"/>
    <col min="13" max="13" width="3.36328125" bestFit="1" customWidth="1"/>
    <col min="14" max="30" width="5" customWidth="1"/>
  </cols>
  <sheetData>
    <row r="1" spans="1:30" ht="148.5" x14ac:dyDescent="0.35">
      <c r="A1" s="65" t="s">
        <v>12</v>
      </c>
      <c r="B1" s="65" t="s">
        <v>27</v>
      </c>
      <c r="C1" s="65" t="s">
        <v>13</v>
      </c>
      <c r="D1" s="65" t="s">
        <v>28</v>
      </c>
      <c r="E1" s="65" t="s">
        <v>31</v>
      </c>
      <c r="F1" s="65" t="s">
        <v>30</v>
      </c>
      <c r="G1" s="65" t="s">
        <v>5</v>
      </c>
      <c r="H1" s="65" t="s">
        <v>6</v>
      </c>
      <c r="I1" s="65" t="s">
        <v>23</v>
      </c>
      <c r="J1" s="65" t="s">
        <v>7</v>
      </c>
      <c r="K1" s="65" t="s">
        <v>8</v>
      </c>
      <c r="L1" s="65" t="s">
        <v>9</v>
      </c>
      <c r="M1" s="65" t="s">
        <v>10</v>
      </c>
      <c r="N1" s="192" t="str">
        <f>ATP_fill!T4</f>
        <v>Run_load_target</v>
      </c>
      <c r="O1" s="193" t="str">
        <f>ATP_fill!W4</f>
        <v>TrailRun_load_target</v>
      </c>
      <c r="P1" s="193" t="str">
        <f>ATP_fill!Z4</f>
        <v>Ride_load_target</v>
      </c>
      <c r="Q1" s="193" t="str">
        <f>ATP_fill!AC4</f>
        <v>MountainBikeRide_load_target</v>
      </c>
      <c r="R1" s="193" t="str">
        <f>ATP_fill!AF4</f>
        <v>OpenWaterSwim_load_target</v>
      </c>
      <c r="S1" s="193" t="str">
        <f>ATP_fill!AI4</f>
        <v>None_load_target</v>
      </c>
      <c r="T1" s="193" t="str">
        <f>ATP_fill!AL4</f>
        <v>None_load_target</v>
      </c>
      <c r="U1" s="193" t="str">
        <f>ATP_fill!AO4</f>
        <v>None_load_target</v>
      </c>
      <c r="V1" s="193" t="s">
        <v>171</v>
      </c>
      <c r="W1" s="193" t="str">
        <f>ATP_fill!BB4</f>
        <v>Run_time_target</v>
      </c>
      <c r="X1" s="193" t="str">
        <f>ATP_fill!BC4</f>
        <v>Run_distance_target</v>
      </c>
      <c r="Y1" s="193" t="str">
        <f>ATP_fill!BD4</f>
        <v>Ride_time_target</v>
      </c>
      <c r="Z1" s="193" t="str">
        <f>ATP_fill!BE4</f>
        <v>Ride_distance_target</v>
      </c>
      <c r="AA1" s="193" t="str">
        <f>ATP_fill!BF4</f>
        <v>TrailRun_time_target</v>
      </c>
      <c r="AB1" s="193" t="str">
        <f>ATP_fill!BG4</f>
        <v>TrailRun_distance_target</v>
      </c>
      <c r="AC1" s="193" t="str">
        <f>ATP_fill!BH4</f>
        <v>Swim_time_target</v>
      </c>
      <c r="AD1" s="194" t="str">
        <f>ATP_fill!BI4</f>
        <v>Walk_distance_target</v>
      </c>
    </row>
    <row r="2" spans="1:30" x14ac:dyDescent="0.35">
      <c r="A2" s="4">
        <f>IF(ATP_fill!C5=0,"",ATP_fill!C5)</f>
        <v>46027</v>
      </c>
      <c r="B2" t="str">
        <f>ATP_fill!I5</f>
        <v>Base 2</v>
      </c>
      <c r="C2" t="str">
        <f>ATP_fill!E5</f>
        <v>-</v>
      </c>
      <c r="D2" t="str">
        <f>ATP_fill!F5</f>
        <v>-</v>
      </c>
      <c r="E2" s="2" t="str">
        <f>ATP_fill!G5</f>
        <v>-</v>
      </c>
      <c r="F2" s="11">
        <f>ATP_fill!AZ5</f>
        <v>0</v>
      </c>
      <c r="G2">
        <f>ATP_fill!AR5</f>
        <v>1</v>
      </c>
      <c r="H2">
        <f>ATP_fill!AS5</f>
        <v>0</v>
      </c>
      <c r="I2">
        <f>ATP_fill!AT5</f>
        <v>0</v>
      </c>
      <c r="J2">
        <f>ATP_fill!AU5</f>
        <v>0</v>
      </c>
      <c r="K2">
        <f>ATP_fill!AV5</f>
        <v>0</v>
      </c>
      <c r="L2">
        <f>ATP_fill!AW5</f>
        <v>0</v>
      </c>
      <c r="M2">
        <f>ATP_fill!AX5</f>
        <v>0</v>
      </c>
      <c r="N2" s="195">
        <f ca="1">ATP_fill!T5</f>
        <v>80</v>
      </c>
      <c r="O2" s="195">
        <f ca="1">ATP_fill!W5</f>
        <v>0</v>
      </c>
      <c r="P2" s="195">
        <f ca="1">ATP_fill!Z5</f>
        <v>175</v>
      </c>
      <c r="Q2" s="195">
        <f ca="1">ATP_fill!AC5</f>
        <v>150</v>
      </c>
      <c r="R2" s="195">
        <f ca="1">ATP_fill!AF5</f>
        <v>0</v>
      </c>
      <c r="S2" s="195">
        <f ca="1">ATP_fill!AI5</f>
        <v>0</v>
      </c>
      <c r="T2" s="195">
        <f ca="1">ATP_fill!AL5</f>
        <v>0</v>
      </c>
      <c r="U2" s="195">
        <f ca="1">ATP_fill!AO5</f>
        <v>0</v>
      </c>
      <c r="V2" s="195">
        <f ca="1">SUM(N2:U2)</f>
        <v>405</v>
      </c>
      <c r="W2" s="196">
        <f>ATP_fill!BB5</f>
        <v>0</v>
      </c>
      <c r="X2" s="196">
        <f>ATP_fill!BC5</f>
        <v>0</v>
      </c>
      <c r="Y2" s="196">
        <f>ATP_fill!BD5</f>
        <v>0</v>
      </c>
      <c r="Z2" s="196">
        <f>ATP_fill!BE5</f>
        <v>0</v>
      </c>
      <c r="AA2" s="196">
        <f>ATP_fill!BF5</f>
        <v>0</v>
      </c>
      <c r="AB2" s="196">
        <f>ATP_fill!BG5</f>
        <v>0</v>
      </c>
      <c r="AC2" s="196">
        <f>ATP_fill!BH5</f>
        <v>0</v>
      </c>
      <c r="AD2" s="196">
        <f>ATP_fill!BI5</f>
        <v>0</v>
      </c>
    </row>
    <row r="3" spans="1:30" x14ac:dyDescent="0.35">
      <c r="A3" s="4">
        <f>IF(ATP_fill!C6=0,"",ATP_fill!C6)</f>
        <v>46034</v>
      </c>
      <c r="B3" t="str">
        <f>ATP_fill!I6</f>
        <v>Base 2</v>
      </c>
      <c r="C3" t="str">
        <f>ATP_fill!E6</f>
        <v>-</v>
      </c>
      <c r="D3" t="str">
        <f>ATP_fill!F6</f>
        <v>-</v>
      </c>
      <c r="E3" s="2" t="str">
        <f>ATP_fill!G6</f>
        <v>-</v>
      </c>
      <c r="F3" s="11" t="str">
        <f>ATP_fill!AZ6</f>
        <v>FTP</v>
      </c>
      <c r="G3">
        <f>ATP_fill!AR6</f>
        <v>0</v>
      </c>
      <c r="H3" t="str">
        <f>ATP_fill!AS6</f>
        <v>1</v>
      </c>
      <c r="I3">
        <f>ATP_fill!AT6</f>
        <v>0</v>
      </c>
      <c r="J3" t="str">
        <f>ATP_fill!AU6</f>
        <v>1</v>
      </c>
      <c r="K3" t="str">
        <f>ATP_fill!AV6</f>
        <v>1</v>
      </c>
      <c r="L3">
        <f>ATP_fill!AW6</f>
        <v>0</v>
      </c>
      <c r="M3">
        <f>ATP_fill!AX6</f>
        <v>1</v>
      </c>
      <c r="N3" s="195">
        <f ca="1">ATP_fill!T6</f>
        <v>90</v>
      </c>
      <c r="O3" s="195">
        <f ca="1">ATP_fill!W6</f>
        <v>0</v>
      </c>
      <c r="P3" s="195">
        <f ca="1">ATP_fill!Z6</f>
        <v>150</v>
      </c>
      <c r="Q3" s="195">
        <f ca="1">ATP_fill!AC6</f>
        <v>150</v>
      </c>
      <c r="R3" s="195">
        <f ca="1">ATP_fill!AF6</f>
        <v>0</v>
      </c>
      <c r="S3" s="195">
        <f ca="1">ATP_fill!AI6</f>
        <v>0</v>
      </c>
      <c r="T3" s="195">
        <f ca="1">ATP_fill!AL6</f>
        <v>0</v>
      </c>
      <c r="U3" s="195">
        <f ca="1">ATP_fill!AO6</f>
        <v>0</v>
      </c>
      <c r="V3" s="195">
        <f t="shared" ref="V3:V53" ca="1" si="0">SUM(N3:U3)</f>
        <v>390</v>
      </c>
      <c r="W3" s="196">
        <f>ATP_fill!BB6</f>
        <v>0</v>
      </c>
      <c r="X3" s="196">
        <f>ATP_fill!BC6</f>
        <v>0</v>
      </c>
      <c r="Y3" s="196">
        <f>ATP_fill!BD6</f>
        <v>0</v>
      </c>
      <c r="Z3" s="196">
        <f>ATP_fill!BE6</f>
        <v>0</v>
      </c>
      <c r="AA3" s="196">
        <f>ATP_fill!BF6</f>
        <v>0</v>
      </c>
      <c r="AB3" s="196">
        <f>ATP_fill!BG6</f>
        <v>0</v>
      </c>
      <c r="AC3" s="196">
        <f>ATP_fill!BH6</f>
        <v>0</v>
      </c>
      <c r="AD3" s="196">
        <f>ATP_fill!BI6</f>
        <v>20</v>
      </c>
    </row>
    <row r="4" spans="1:30" x14ac:dyDescent="0.35">
      <c r="A4" s="4">
        <f>IF(ATP_fill!C7=0,"",ATP_fill!C7)</f>
        <v>46041</v>
      </c>
      <c r="B4" t="str">
        <f>ATP_fill!I7</f>
        <v>Base 2</v>
      </c>
      <c r="C4" t="str">
        <f>ATP_fill!E7</f>
        <v>-</v>
      </c>
      <c r="D4" t="str">
        <f>ATP_fill!F7</f>
        <v>-</v>
      </c>
      <c r="E4" s="2" t="str">
        <f>ATP_fill!G7</f>
        <v>-</v>
      </c>
      <c r="F4" s="11" t="str">
        <f>ATP_fill!AZ7</f>
        <v>AeT</v>
      </c>
      <c r="G4">
        <f>ATP_fill!AR7</f>
        <v>1</v>
      </c>
      <c r="H4" t="str">
        <f>ATP_fill!AS7</f>
        <v>1</v>
      </c>
      <c r="I4" t="str">
        <f>ATP_fill!AT7</f>
        <v>1</v>
      </c>
      <c r="J4" t="str">
        <f>ATP_fill!AU7</f>
        <v>1</v>
      </c>
      <c r="K4" t="str">
        <f>ATP_fill!AV7</f>
        <v>1</v>
      </c>
      <c r="L4">
        <f>ATP_fill!AW7</f>
        <v>0</v>
      </c>
      <c r="M4">
        <f>ATP_fill!AX7</f>
        <v>1</v>
      </c>
      <c r="N4" s="195">
        <f ca="1">ATP_fill!T7</f>
        <v>120</v>
      </c>
      <c r="O4" s="195">
        <f ca="1">ATP_fill!W7</f>
        <v>0</v>
      </c>
      <c r="P4" s="195">
        <f ca="1">ATP_fill!Z7</f>
        <v>175</v>
      </c>
      <c r="Q4" s="195">
        <f ca="1">ATP_fill!AC7</f>
        <v>150</v>
      </c>
      <c r="R4" s="195">
        <f ca="1">ATP_fill!AF7</f>
        <v>0</v>
      </c>
      <c r="S4" s="195">
        <f ca="1">ATP_fill!AI7</f>
        <v>0</v>
      </c>
      <c r="T4" s="195">
        <f ca="1">ATP_fill!AL7</f>
        <v>0</v>
      </c>
      <c r="U4" s="195">
        <f ca="1">ATP_fill!AO7</f>
        <v>0</v>
      </c>
      <c r="V4" s="195">
        <f t="shared" ca="1" si="0"/>
        <v>445</v>
      </c>
      <c r="W4" s="196">
        <f>ATP_fill!BB7</f>
        <v>0</v>
      </c>
      <c r="X4" s="196">
        <f>ATP_fill!BC7</f>
        <v>0</v>
      </c>
      <c r="Y4" s="196">
        <f>ATP_fill!BD7</f>
        <v>0</v>
      </c>
      <c r="Z4" s="196">
        <f>ATP_fill!BE7</f>
        <v>0</v>
      </c>
      <c r="AA4" s="196">
        <f>ATP_fill!BF7</f>
        <v>0</v>
      </c>
      <c r="AB4" s="196">
        <f>ATP_fill!BG7</f>
        <v>0</v>
      </c>
      <c r="AC4" s="196">
        <f>ATP_fill!BH7</f>
        <v>0</v>
      </c>
      <c r="AD4" s="196">
        <f>ATP_fill!BI7</f>
        <v>0</v>
      </c>
    </row>
    <row r="5" spans="1:30" x14ac:dyDescent="0.35">
      <c r="A5" s="4">
        <f>IF(ATP_fill!C8=0,"",ATP_fill!C8)</f>
        <v>46048</v>
      </c>
      <c r="B5" t="str">
        <f>ATP_fill!I8</f>
        <v>Base 2</v>
      </c>
      <c r="C5" t="str">
        <f>ATP_fill!E8</f>
        <v>-</v>
      </c>
      <c r="D5" t="str">
        <f>ATP_fill!F8</f>
        <v>-</v>
      </c>
      <c r="E5" s="2" t="str">
        <f>ATP_fill!G8</f>
        <v>-</v>
      </c>
      <c r="F5" s="11">
        <f>ATP_fill!AZ8</f>
        <v>0</v>
      </c>
      <c r="G5">
        <f>ATP_fill!AR8</f>
        <v>0</v>
      </c>
      <c r="H5" t="str">
        <f>ATP_fill!AS8</f>
        <v>1</v>
      </c>
      <c r="I5">
        <f>ATP_fill!AT8</f>
        <v>0</v>
      </c>
      <c r="J5" t="str">
        <f>ATP_fill!AU8</f>
        <v>1</v>
      </c>
      <c r="K5" t="str">
        <f>ATP_fill!AV8</f>
        <v>1</v>
      </c>
      <c r="L5">
        <f>ATP_fill!AW8</f>
        <v>0</v>
      </c>
      <c r="M5">
        <f>ATP_fill!AX8</f>
        <v>0</v>
      </c>
      <c r="N5" s="195">
        <f ca="1">ATP_fill!T8</f>
        <v>30</v>
      </c>
      <c r="O5" s="195">
        <f ca="1">ATP_fill!W8</f>
        <v>0</v>
      </c>
      <c r="P5" s="195">
        <f ca="1">ATP_fill!Z8</f>
        <v>175</v>
      </c>
      <c r="Q5" s="195">
        <f ca="1">ATP_fill!AC8</f>
        <v>150</v>
      </c>
      <c r="R5" s="195">
        <f ca="1">ATP_fill!AF8</f>
        <v>0</v>
      </c>
      <c r="S5" s="195">
        <f ca="1">ATP_fill!AI8</f>
        <v>0</v>
      </c>
      <c r="T5" s="195">
        <f ca="1">ATP_fill!AL8</f>
        <v>0</v>
      </c>
      <c r="U5" s="195">
        <f ca="1">ATP_fill!AO8</f>
        <v>0</v>
      </c>
      <c r="V5" s="195">
        <f t="shared" ca="1" si="0"/>
        <v>355</v>
      </c>
      <c r="W5" s="196">
        <f>ATP_fill!BB8</f>
        <v>0</v>
      </c>
      <c r="X5" s="196">
        <f>ATP_fill!BC8</f>
        <v>0</v>
      </c>
      <c r="Y5" s="196">
        <f>ATP_fill!BD8</f>
        <v>0</v>
      </c>
      <c r="Z5" s="196">
        <f>ATP_fill!BE8</f>
        <v>0</v>
      </c>
      <c r="AA5" s="196">
        <f>ATP_fill!BF8</f>
        <v>0</v>
      </c>
      <c r="AB5" s="196">
        <f>ATP_fill!BG8</f>
        <v>0</v>
      </c>
      <c r="AC5" s="196">
        <f>ATP_fill!BH8</f>
        <v>0</v>
      </c>
      <c r="AD5" s="196">
        <f>ATP_fill!BI8</f>
        <v>0</v>
      </c>
    </row>
    <row r="6" spans="1:30" x14ac:dyDescent="0.35">
      <c r="A6" s="4">
        <f>IF(ATP_fill!C9=0,"",ATP_fill!C9)</f>
        <v>46055</v>
      </c>
      <c r="B6" t="str">
        <f>ATP_fill!I9</f>
        <v>Base 3</v>
      </c>
      <c r="C6" t="str">
        <f>ATP_fill!E9</f>
        <v>-</v>
      </c>
      <c r="D6" t="str">
        <f>ATP_fill!F9</f>
        <v>-</v>
      </c>
      <c r="E6" s="2" t="str">
        <f>ATP_fill!G9</f>
        <v>-</v>
      </c>
      <c r="F6" s="11">
        <f>ATP_fill!AZ9</f>
        <v>0</v>
      </c>
      <c r="G6">
        <f>ATP_fill!AR9</f>
        <v>1</v>
      </c>
      <c r="H6" t="str">
        <f>ATP_fill!AS9</f>
        <v>1</v>
      </c>
      <c r="I6" t="str">
        <f>ATP_fill!AT9</f>
        <v>1</v>
      </c>
      <c r="J6" t="str">
        <f>ATP_fill!AU9</f>
        <v>1</v>
      </c>
      <c r="K6">
        <f>ATP_fill!AV9</f>
        <v>0</v>
      </c>
      <c r="L6" t="str">
        <f>ATP_fill!AW9</f>
        <v>1</v>
      </c>
      <c r="M6">
        <f>ATP_fill!AX9</f>
        <v>0</v>
      </c>
      <c r="N6" s="195">
        <f ca="1">ATP_fill!T9</f>
        <v>30</v>
      </c>
      <c r="O6" s="195">
        <f ca="1">ATP_fill!W9</f>
        <v>0</v>
      </c>
      <c r="P6" s="195">
        <f ca="1">ATP_fill!Z9</f>
        <v>175</v>
      </c>
      <c r="Q6" s="195">
        <f ca="1">ATP_fill!AC9</f>
        <v>150</v>
      </c>
      <c r="R6" s="195">
        <f ca="1">ATP_fill!AF9</f>
        <v>0</v>
      </c>
      <c r="S6" s="195">
        <f ca="1">ATP_fill!AI9</f>
        <v>0</v>
      </c>
      <c r="T6" s="195">
        <f ca="1">ATP_fill!AL9</f>
        <v>0</v>
      </c>
      <c r="U6" s="195">
        <f ca="1">ATP_fill!AO9</f>
        <v>0</v>
      </c>
      <c r="V6" s="195">
        <f t="shared" ca="1" si="0"/>
        <v>355</v>
      </c>
      <c r="W6" s="196">
        <f>ATP_fill!BB9</f>
        <v>0</v>
      </c>
      <c r="X6" s="196">
        <f>ATP_fill!BC9</f>
        <v>0</v>
      </c>
      <c r="Y6" s="196">
        <f>ATP_fill!BD9</f>
        <v>0</v>
      </c>
      <c r="Z6" s="196">
        <f>ATP_fill!BE9</f>
        <v>0</v>
      </c>
      <c r="AA6" s="196">
        <f>ATP_fill!BF9</f>
        <v>0</v>
      </c>
      <c r="AB6" s="196">
        <f>ATP_fill!BG9</f>
        <v>0</v>
      </c>
      <c r="AC6" s="196">
        <f>ATP_fill!BH9</f>
        <v>0</v>
      </c>
      <c r="AD6" s="196">
        <f>ATP_fill!BI9</f>
        <v>0</v>
      </c>
    </row>
    <row r="7" spans="1:30" x14ac:dyDescent="0.35">
      <c r="A7" s="4">
        <f>IF(ATP_fill!C10=0,"",ATP_fill!C10)</f>
        <v>46062</v>
      </c>
      <c r="B7" t="str">
        <f>ATP_fill!I10</f>
        <v>Base 3</v>
      </c>
      <c r="C7" t="str">
        <f>ATP_fill!E10</f>
        <v>-</v>
      </c>
      <c r="D7" t="str">
        <f>ATP_fill!F10</f>
        <v>-</v>
      </c>
      <c r="E7" s="2" t="str">
        <f>ATP_fill!G10</f>
        <v>-</v>
      </c>
      <c r="F7" s="11" t="str">
        <f>ATP_fill!AZ10</f>
        <v>AeT</v>
      </c>
      <c r="G7">
        <f>ATP_fill!AR10</f>
        <v>0</v>
      </c>
      <c r="H7" t="str">
        <f>ATP_fill!AS10</f>
        <v>1</v>
      </c>
      <c r="I7" t="str">
        <f>ATP_fill!AT10</f>
        <v>1</v>
      </c>
      <c r="J7" t="str">
        <f>ATP_fill!AU10</f>
        <v>1</v>
      </c>
      <c r="K7">
        <f>ATP_fill!AV10</f>
        <v>0</v>
      </c>
      <c r="L7" t="str">
        <f>ATP_fill!AW10</f>
        <v>1</v>
      </c>
      <c r="M7">
        <f>ATP_fill!AX10</f>
        <v>0</v>
      </c>
      <c r="N7" s="195">
        <f ca="1">ATP_fill!T10</f>
        <v>40</v>
      </c>
      <c r="O7" s="195">
        <f ca="1">ATP_fill!W10</f>
        <v>0</v>
      </c>
      <c r="P7" s="195">
        <f ca="1">ATP_fill!Z10</f>
        <v>230</v>
      </c>
      <c r="Q7" s="195">
        <f ca="1">ATP_fill!AC10</f>
        <v>150</v>
      </c>
      <c r="R7" s="195">
        <f ca="1">ATP_fill!AF10</f>
        <v>0</v>
      </c>
      <c r="S7" s="195">
        <f ca="1">ATP_fill!AI10</f>
        <v>0</v>
      </c>
      <c r="T7" s="195">
        <f ca="1">ATP_fill!AL10</f>
        <v>0</v>
      </c>
      <c r="U7" s="195">
        <f ca="1">ATP_fill!AO10</f>
        <v>0</v>
      </c>
      <c r="V7" s="195">
        <f t="shared" ca="1" si="0"/>
        <v>420</v>
      </c>
      <c r="W7" s="196">
        <f>ATP_fill!BB10</f>
        <v>0</v>
      </c>
      <c r="X7" s="196">
        <f>ATP_fill!BC10</f>
        <v>0</v>
      </c>
      <c r="Y7" s="196">
        <f>ATP_fill!BD10</f>
        <v>0</v>
      </c>
      <c r="Z7" s="196">
        <f>ATP_fill!BE10</f>
        <v>0</v>
      </c>
      <c r="AA7" s="196">
        <f>ATP_fill!BF10</f>
        <v>0</v>
      </c>
      <c r="AB7" s="196">
        <f>ATP_fill!BG10</f>
        <v>0</v>
      </c>
      <c r="AC7" s="196">
        <f>ATP_fill!BH10</f>
        <v>0</v>
      </c>
      <c r="AD7" s="196">
        <f>ATP_fill!BI10</f>
        <v>0</v>
      </c>
    </row>
    <row r="8" spans="1:30" x14ac:dyDescent="0.35">
      <c r="A8" s="4">
        <f>IF(ATP_fill!C11=0,"",ATP_fill!C11)</f>
        <v>46069</v>
      </c>
      <c r="B8" t="str">
        <f>ATP_fill!I11</f>
        <v>Base 3</v>
      </c>
      <c r="C8" t="str">
        <f>ATP_fill!E11</f>
        <v>-</v>
      </c>
      <c r="D8" t="str">
        <f>ATP_fill!F11</f>
        <v>-</v>
      </c>
      <c r="E8" s="2" t="str">
        <f>ATP_fill!G11</f>
        <v>-</v>
      </c>
      <c r="F8" s="11" t="str">
        <f>ATP_fill!AZ11</f>
        <v>FTP</v>
      </c>
      <c r="G8">
        <f>ATP_fill!AR11</f>
        <v>1</v>
      </c>
      <c r="H8" t="str">
        <f>ATP_fill!AS11</f>
        <v>1</v>
      </c>
      <c r="I8" t="str">
        <f>ATP_fill!AT11</f>
        <v>1</v>
      </c>
      <c r="J8" t="str">
        <f>ATP_fill!AU11</f>
        <v>1</v>
      </c>
      <c r="K8">
        <f>ATP_fill!AV11</f>
        <v>0</v>
      </c>
      <c r="L8" t="str">
        <f>ATP_fill!AW11</f>
        <v>1</v>
      </c>
      <c r="M8">
        <f>ATP_fill!AX11</f>
        <v>0</v>
      </c>
      <c r="N8" s="195">
        <f ca="1">ATP_fill!T11</f>
        <v>120</v>
      </c>
      <c r="O8" s="195">
        <f ca="1">ATP_fill!W11</f>
        <v>0</v>
      </c>
      <c r="P8" s="195">
        <f ca="1">ATP_fill!Z11</f>
        <v>150</v>
      </c>
      <c r="Q8" s="195">
        <f ca="1">ATP_fill!AC11</f>
        <v>150</v>
      </c>
      <c r="R8" s="195">
        <f ca="1">ATP_fill!AF11</f>
        <v>0</v>
      </c>
      <c r="S8" s="195">
        <f ca="1">ATP_fill!AI11</f>
        <v>0</v>
      </c>
      <c r="T8" s="195">
        <f ca="1">ATP_fill!AL11</f>
        <v>0</v>
      </c>
      <c r="U8" s="195">
        <f ca="1">ATP_fill!AO11</f>
        <v>0</v>
      </c>
      <c r="V8" s="195">
        <f t="shared" ca="1" si="0"/>
        <v>420</v>
      </c>
      <c r="W8" s="196">
        <f>ATP_fill!BB11</f>
        <v>0</v>
      </c>
      <c r="X8" s="196">
        <f>ATP_fill!BC11</f>
        <v>0</v>
      </c>
      <c r="Y8" s="196">
        <f>ATP_fill!BD11</f>
        <v>0</v>
      </c>
      <c r="Z8" s="196">
        <f>ATP_fill!BE11</f>
        <v>0</v>
      </c>
      <c r="AA8" s="196">
        <f>ATP_fill!BF11</f>
        <v>0</v>
      </c>
      <c r="AB8" s="196">
        <f>ATP_fill!BG11</f>
        <v>0</v>
      </c>
      <c r="AC8" s="196">
        <f>ATP_fill!BH11</f>
        <v>0</v>
      </c>
      <c r="AD8" s="196">
        <f>ATP_fill!BI11</f>
        <v>0</v>
      </c>
    </row>
    <row r="9" spans="1:30" x14ac:dyDescent="0.35">
      <c r="A9" s="4">
        <f>IF(ATP_fill!C12=0,"",ATP_fill!C12)</f>
        <v>46076</v>
      </c>
      <c r="B9" t="str">
        <f>ATP_fill!I12</f>
        <v>Base 3</v>
      </c>
      <c r="C9" t="str">
        <f>ATP_fill!E12</f>
        <v>-</v>
      </c>
      <c r="D9" t="str">
        <f>ATP_fill!F12</f>
        <v>-</v>
      </c>
      <c r="E9" s="2" t="str">
        <f>ATP_fill!G12</f>
        <v>-</v>
      </c>
      <c r="F9" s="11">
        <f>ATP_fill!AZ12</f>
        <v>0</v>
      </c>
      <c r="G9">
        <f>ATP_fill!AR12</f>
        <v>0</v>
      </c>
      <c r="H9" t="str">
        <f>ATP_fill!AS12</f>
        <v>1</v>
      </c>
      <c r="I9">
        <f>ATP_fill!AT12</f>
        <v>0</v>
      </c>
      <c r="J9" t="str">
        <f>ATP_fill!AU12</f>
        <v>1</v>
      </c>
      <c r="K9">
        <f>ATP_fill!AV12</f>
        <v>0</v>
      </c>
      <c r="L9">
        <f>ATP_fill!AW12</f>
        <v>0</v>
      </c>
      <c r="M9">
        <f>ATP_fill!AX12</f>
        <v>0</v>
      </c>
      <c r="N9" s="195">
        <f ca="1">ATP_fill!T12</f>
        <v>30</v>
      </c>
      <c r="O9" s="195">
        <f ca="1">ATP_fill!W12</f>
        <v>0</v>
      </c>
      <c r="P9" s="195">
        <f ca="1">ATP_fill!Z12</f>
        <v>175</v>
      </c>
      <c r="Q9" s="195">
        <f ca="1">ATP_fill!AC12</f>
        <v>150</v>
      </c>
      <c r="R9" s="195">
        <f ca="1">ATP_fill!AF12</f>
        <v>0</v>
      </c>
      <c r="S9" s="195">
        <f ca="1">ATP_fill!AI12</f>
        <v>0</v>
      </c>
      <c r="T9" s="195">
        <f ca="1">ATP_fill!AL12</f>
        <v>0</v>
      </c>
      <c r="U9" s="195">
        <f ca="1">ATP_fill!AO12</f>
        <v>0</v>
      </c>
      <c r="V9" s="195">
        <f t="shared" ca="1" si="0"/>
        <v>355</v>
      </c>
      <c r="W9" s="196">
        <f>ATP_fill!BB12</f>
        <v>0</v>
      </c>
      <c r="X9" s="196">
        <f>ATP_fill!BC12</f>
        <v>0</v>
      </c>
      <c r="Y9" s="196">
        <f>ATP_fill!BD12</f>
        <v>0</v>
      </c>
      <c r="Z9" s="196">
        <f>ATP_fill!BE12</f>
        <v>0</v>
      </c>
      <c r="AA9" s="196">
        <f>ATP_fill!BF12</f>
        <v>0</v>
      </c>
      <c r="AB9" s="196">
        <f>ATP_fill!BG12</f>
        <v>0</v>
      </c>
      <c r="AC9" s="196">
        <f>ATP_fill!BH12</f>
        <v>0</v>
      </c>
      <c r="AD9" s="196">
        <f>ATP_fill!BI12</f>
        <v>0</v>
      </c>
    </row>
    <row r="10" spans="1:30" x14ac:dyDescent="0.35">
      <c r="A10" s="4">
        <f>IF(ATP_fill!C13=0,"",ATP_fill!C13)</f>
        <v>46083</v>
      </c>
      <c r="B10" t="str">
        <f>ATP_fill!I13</f>
        <v>Build 1</v>
      </c>
      <c r="C10" t="str">
        <f>ATP_fill!E13</f>
        <v>-</v>
      </c>
      <c r="D10" t="str">
        <f>ATP_fill!F13</f>
        <v>-</v>
      </c>
      <c r="E10" s="2" t="str">
        <f>ATP_fill!G13</f>
        <v>-</v>
      </c>
      <c r="F10" s="11">
        <f>ATP_fill!AZ13</f>
        <v>0</v>
      </c>
      <c r="G10">
        <f>ATP_fill!AR13</f>
        <v>1</v>
      </c>
      <c r="H10" t="str">
        <f>ATP_fill!AS13</f>
        <v>1</v>
      </c>
      <c r="I10" t="str">
        <f>ATP_fill!AT13</f>
        <v>1</v>
      </c>
      <c r="J10" t="str">
        <f>ATP_fill!AU13</f>
        <v>1</v>
      </c>
      <c r="K10" t="str">
        <f>ATP_fill!AV13</f>
        <v>1</v>
      </c>
      <c r="L10" t="str">
        <f>ATP_fill!AW13</f>
        <v>1</v>
      </c>
      <c r="M10">
        <f>ATP_fill!AX13</f>
        <v>0</v>
      </c>
      <c r="N10" s="195">
        <f ca="1">ATP_fill!T13</f>
        <v>35</v>
      </c>
      <c r="O10" s="195">
        <f ca="1">ATP_fill!W13</f>
        <v>0</v>
      </c>
      <c r="P10" s="195">
        <f ca="1">ATP_fill!Z13</f>
        <v>225</v>
      </c>
      <c r="Q10" s="195">
        <f ca="1">ATP_fill!AC13</f>
        <v>150</v>
      </c>
      <c r="R10" s="195">
        <f ca="1">ATP_fill!AF13</f>
        <v>0</v>
      </c>
      <c r="S10" s="195">
        <f ca="1">ATP_fill!AI13</f>
        <v>0</v>
      </c>
      <c r="T10" s="195">
        <f ca="1">ATP_fill!AL13</f>
        <v>0</v>
      </c>
      <c r="U10" s="195">
        <f ca="1">ATP_fill!AO13</f>
        <v>0</v>
      </c>
      <c r="V10" s="195">
        <f t="shared" ca="1" si="0"/>
        <v>410</v>
      </c>
      <c r="W10" s="196">
        <f>ATP_fill!BB13</f>
        <v>0</v>
      </c>
      <c r="X10" s="196">
        <f>ATP_fill!BC13</f>
        <v>0</v>
      </c>
      <c r="Y10" s="196">
        <f>ATP_fill!BD13</f>
        <v>0</v>
      </c>
      <c r="Z10" s="196">
        <f>ATP_fill!BE13</f>
        <v>0</v>
      </c>
      <c r="AA10" s="196">
        <f>ATP_fill!BF13</f>
        <v>0</v>
      </c>
      <c r="AB10" s="196">
        <f>ATP_fill!BG13</f>
        <v>0</v>
      </c>
      <c r="AC10" s="196">
        <f>ATP_fill!BH13</f>
        <v>0</v>
      </c>
      <c r="AD10" s="196">
        <f>ATP_fill!BI13</f>
        <v>0</v>
      </c>
    </row>
    <row r="11" spans="1:30" x14ac:dyDescent="0.35">
      <c r="A11" s="4">
        <f>IF(ATP_fill!C14=0,"",ATP_fill!C14)</f>
        <v>46090</v>
      </c>
      <c r="B11" t="str">
        <f>ATP_fill!I14</f>
        <v>Build 1</v>
      </c>
      <c r="C11" t="str">
        <f>ATP_fill!E14</f>
        <v>-</v>
      </c>
      <c r="D11" t="str">
        <f>ATP_fill!F14</f>
        <v>-</v>
      </c>
      <c r="E11" s="2" t="str">
        <f>ATP_fill!G14</f>
        <v>-</v>
      </c>
      <c r="F11" s="11" t="str">
        <f>ATP_fill!AZ14</f>
        <v>FTP</v>
      </c>
      <c r="G11">
        <f>ATP_fill!AR14</f>
        <v>0</v>
      </c>
      <c r="H11" t="str">
        <f>ATP_fill!AS14</f>
        <v>1</v>
      </c>
      <c r="I11" t="str">
        <f>ATP_fill!AT14</f>
        <v>1</v>
      </c>
      <c r="J11" t="str">
        <f>ATP_fill!AU14</f>
        <v>1</v>
      </c>
      <c r="K11" t="str">
        <f>ATP_fill!AV14</f>
        <v>1</v>
      </c>
      <c r="L11" t="e">
        <f>ATP_fill!#REF!</f>
        <v>#REF!</v>
      </c>
      <c r="M11">
        <f>ATP_fill!AX14</f>
        <v>0</v>
      </c>
      <c r="N11" s="195">
        <f ca="1">ATP_fill!T14</f>
        <v>95</v>
      </c>
      <c r="O11" s="195">
        <f ca="1">ATP_fill!W14</f>
        <v>0</v>
      </c>
      <c r="P11" s="195">
        <f ca="1">ATP_fill!Z14</f>
        <v>215</v>
      </c>
      <c r="Q11" s="195">
        <f ca="1">ATP_fill!AC14</f>
        <v>150</v>
      </c>
      <c r="R11" s="195">
        <f ca="1">ATP_fill!AF14</f>
        <v>0</v>
      </c>
      <c r="S11" s="195">
        <f ca="1">ATP_fill!AI14</f>
        <v>0</v>
      </c>
      <c r="T11" s="195">
        <f ca="1">ATP_fill!AL14</f>
        <v>0</v>
      </c>
      <c r="U11" s="195">
        <f ca="1">ATP_fill!AO14</f>
        <v>0</v>
      </c>
      <c r="V11" s="195">
        <f t="shared" ca="1" si="0"/>
        <v>460</v>
      </c>
      <c r="W11" s="196">
        <f>ATP_fill!BB14</f>
        <v>0</v>
      </c>
      <c r="X11" s="196">
        <f>ATP_fill!BC14</f>
        <v>0</v>
      </c>
      <c r="Y11" s="196">
        <f>ATP_fill!BD14</f>
        <v>0</v>
      </c>
      <c r="Z11" s="196">
        <f>ATP_fill!BE14</f>
        <v>0</v>
      </c>
      <c r="AA11" s="196">
        <f>ATP_fill!BF14</f>
        <v>0</v>
      </c>
      <c r="AB11" s="196">
        <f>ATP_fill!BG14</f>
        <v>0</v>
      </c>
      <c r="AC11" s="196">
        <f>ATP_fill!BH14</f>
        <v>0</v>
      </c>
      <c r="AD11" s="196">
        <f>ATP_fill!BI14</f>
        <v>0</v>
      </c>
    </row>
    <row r="12" spans="1:30" x14ac:dyDescent="0.35">
      <c r="A12" s="4">
        <f>IF(ATP_fill!C15=0,"",ATP_fill!C15)</f>
        <v>46097</v>
      </c>
      <c r="B12" t="str">
        <f>ATP_fill!I15</f>
        <v>Build 1</v>
      </c>
      <c r="C12" t="str">
        <f>ATP_fill!E15</f>
        <v>-</v>
      </c>
      <c r="D12" t="str">
        <f>ATP_fill!F15</f>
        <v>-</v>
      </c>
      <c r="E12" s="2" t="str">
        <f>ATP_fill!G15</f>
        <v>-</v>
      </c>
      <c r="F12" s="11" t="str">
        <f>ATP_fill!AZ15</f>
        <v>AeT</v>
      </c>
      <c r="G12">
        <f>ATP_fill!AR15</f>
        <v>1</v>
      </c>
      <c r="H12" t="str">
        <f>ATP_fill!AS15</f>
        <v>1</v>
      </c>
      <c r="I12" t="str">
        <f>ATP_fill!AT15</f>
        <v>1</v>
      </c>
      <c r="J12" t="str">
        <f>ATP_fill!AU15</f>
        <v>1</v>
      </c>
      <c r="K12" t="str">
        <f>ATP_fill!AV15</f>
        <v>1</v>
      </c>
      <c r="L12" t="str">
        <f>ATP_fill!AW14</f>
        <v>1</v>
      </c>
      <c r="M12">
        <f>ATP_fill!AX15</f>
        <v>0</v>
      </c>
      <c r="N12" s="195">
        <f ca="1">ATP_fill!T15</f>
        <v>40</v>
      </c>
      <c r="O12" s="195">
        <f ca="1">ATP_fill!W15</f>
        <v>0</v>
      </c>
      <c r="P12" s="195">
        <f ca="1">ATP_fill!Z15</f>
        <v>265</v>
      </c>
      <c r="Q12" s="195">
        <f ca="1">ATP_fill!AC15</f>
        <v>150</v>
      </c>
      <c r="R12" s="195">
        <f ca="1">ATP_fill!AF15</f>
        <v>0</v>
      </c>
      <c r="S12" s="195">
        <f ca="1">ATP_fill!AI15</f>
        <v>0</v>
      </c>
      <c r="T12" s="195">
        <f ca="1">ATP_fill!AL15</f>
        <v>0</v>
      </c>
      <c r="U12" s="195">
        <f ca="1">ATP_fill!AO15</f>
        <v>0</v>
      </c>
      <c r="V12" s="195">
        <f t="shared" ca="1" si="0"/>
        <v>455</v>
      </c>
      <c r="W12" s="196">
        <f>ATP_fill!BB15</f>
        <v>0</v>
      </c>
      <c r="X12" s="196">
        <f>ATP_fill!BC15</f>
        <v>0</v>
      </c>
      <c r="Y12" s="196">
        <f>ATP_fill!BD15</f>
        <v>0</v>
      </c>
      <c r="Z12" s="196">
        <f>ATP_fill!BE15</f>
        <v>0</v>
      </c>
      <c r="AA12" s="196">
        <f>ATP_fill!BF15</f>
        <v>0</v>
      </c>
      <c r="AB12" s="196">
        <f>ATP_fill!BG15</f>
        <v>0</v>
      </c>
      <c r="AC12" s="196">
        <f>ATP_fill!BH15</f>
        <v>0</v>
      </c>
      <c r="AD12" s="196">
        <f>ATP_fill!BI15</f>
        <v>0</v>
      </c>
    </row>
    <row r="13" spans="1:30" x14ac:dyDescent="0.35">
      <c r="A13" s="4">
        <f>IF(ATP_fill!C16=0,"",ATP_fill!C16)</f>
        <v>46104</v>
      </c>
      <c r="B13" t="str">
        <f>ATP_fill!I16</f>
        <v>Build 1</v>
      </c>
      <c r="C13" t="str">
        <f>ATP_fill!E16</f>
        <v>-</v>
      </c>
      <c r="D13" t="str">
        <f>ATP_fill!F16</f>
        <v>-</v>
      </c>
      <c r="E13" s="2" t="str">
        <f>ATP_fill!G16</f>
        <v>-</v>
      </c>
      <c r="F13" s="11">
        <f>ATP_fill!AZ16</f>
        <v>0</v>
      </c>
      <c r="G13">
        <f>ATP_fill!AR16</f>
        <v>0</v>
      </c>
      <c r="H13" t="str">
        <f>ATP_fill!AS16</f>
        <v>1</v>
      </c>
      <c r="I13">
        <f>ATP_fill!AT16</f>
        <v>0</v>
      </c>
      <c r="J13" t="str">
        <f>ATP_fill!AU16</f>
        <v>1</v>
      </c>
      <c r="K13">
        <f>ATP_fill!AV16</f>
        <v>0</v>
      </c>
      <c r="L13">
        <f>ATP_fill!AW16</f>
        <v>0</v>
      </c>
      <c r="M13">
        <f>ATP_fill!AX16</f>
        <v>0</v>
      </c>
      <c r="N13" s="195">
        <f ca="1">ATP_fill!T16</f>
        <v>30</v>
      </c>
      <c r="O13" s="195">
        <f ca="1">ATP_fill!W16</f>
        <v>0</v>
      </c>
      <c r="P13" s="195">
        <f ca="1">ATP_fill!Z16</f>
        <v>165</v>
      </c>
      <c r="Q13" s="195">
        <f ca="1">ATP_fill!AC16</f>
        <v>150</v>
      </c>
      <c r="R13" s="195">
        <f ca="1">ATP_fill!AF16</f>
        <v>0</v>
      </c>
      <c r="S13" s="195">
        <f ca="1">ATP_fill!AI16</f>
        <v>0</v>
      </c>
      <c r="T13" s="195">
        <f ca="1">ATP_fill!AL16</f>
        <v>0</v>
      </c>
      <c r="U13" s="195">
        <f ca="1">ATP_fill!AO16</f>
        <v>0</v>
      </c>
      <c r="V13" s="195">
        <f t="shared" ca="1" si="0"/>
        <v>345</v>
      </c>
      <c r="W13" s="196">
        <f>ATP_fill!BB16</f>
        <v>0</v>
      </c>
      <c r="X13" s="196">
        <f>ATP_fill!BC16</f>
        <v>0</v>
      </c>
      <c r="Y13" s="196">
        <f>ATP_fill!BD16</f>
        <v>0</v>
      </c>
      <c r="Z13" s="196">
        <f>ATP_fill!BE16</f>
        <v>0</v>
      </c>
      <c r="AA13" s="196">
        <f>ATP_fill!BF16</f>
        <v>0</v>
      </c>
      <c r="AB13" s="196">
        <f>ATP_fill!BG16</f>
        <v>0</v>
      </c>
      <c r="AC13" s="196">
        <f>ATP_fill!BH16</f>
        <v>0</v>
      </c>
      <c r="AD13" s="196">
        <f>ATP_fill!BI16</f>
        <v>0</v>
      </c>
    </row>
    <row r="14" spans="1:30" x14ac:dyDescent="0.35">
      <c r="A14" s="4">
        <f>IF(ATP_fill!C17=0,"",ATP_fill!C17)</f>
        <v>46111</v>
      </c>
      <c r="B14" t="str">
        <f>ATP_fill!I17</f>
        <v>Build 2</v>
      </c>
      <c r="C14" t="str">
        <f>ATP_fill!E17</f>
        <v>-</v>
      </c>
      <c r="D14" t="str">
        <f>ATP_fill!F17</f>
        <v>-</v>
      </c>
      <c r="E14" s="2" t="str">
        <f>ATP_fill!G17</f>
        <v>-</v>
      </c>
      <c r="F14" s="11">
        <f>ATP_fill!AZ17</f>
        <v>0</v>
      </c>
      <c r="G14">
        <f>ATP_fill!AR17</f>
        <v>1</v>
      </c>
      <c r="H14" t="str">
        <f>ATP_fill!AS17</f>
        <v>1</v>
      </c>
      <c r="I14" t="str">
        <f>ATP_fill!AT17</f>
        <v>1</v>
      </c>
      <c r="J14" t="str">
        <f>ATP_fill!AU17</f>
        <v>1</v>
      </c>
      <c r="K14" t="str">
        <f>ATP_fill!AV17</f>
        <v>1</v>
      </c>
      <c r="L14" t="str">
        <f>ATP_fill!AW17</f>
        <v>1</v>
      </c>
      <c r="M14">
        <f>ATP_fill!AX17</f>
        <v>0</v>
      </c>
      <c r="N14" s="195">
        <f ca="1">ATP_fill!T17</f>
        <v>35</v>
      </c>
      <c r="O14" s="195">
        <f ca="1">ATP_fill!W17</f>
        <v>0</v>
      </c>
      <c r="P14" s="195">
        <f ca="1">ATP_fill!Z17</f>
        <v>170</v>
      </c>
      <c r="Q14" s="195">
        <f ca="1">ATP_fill!AC17</f>
        <v>150</v>
      </c>
      <c r="R14" s="195">
        <f ca="1">ATP_fill!AF17</f>
        <v>0</v>
      </c>
      <c r="S14" s="195">
        <f ca="1">ATP_fill!AI17</f>
        <v>0</v>
      </c>
      <c r="T14" s="195">
        <f ca="1">ATP_fill!AL17</f>
        <v>0</v>
      </c>
      <c r="U14" s="195">
        <f ca="1">ATP_fill!AO17</f>
        <v>0</v>
      </c>
      <c r="V14" s="195">
        <f t="shared" ca="1" si="0"/>
        <v>355</v>
      </c>
      <c r="W14" s="196">
        <f>ATP_fill!BB17</f>
        <v>0</v>
      </c>
      <c r="X14" s="196">
        <f>ATP_fill!BC17</f>
        <v>0</v>
      </c>
      <c r="Y14" s="196">
        <f>ATP_fill!BD17</f>
        <v>0</v>
      </c>
      <c r="Z14" s="196">
        <f>ATP_fill!BE17</f>
        <v>0</v>
      </c>
      <c r="AA14" s="196">
        <f>ATP_fill!BF17</f>
        <v>0</v>
      </c>
      <c r="AB14" s="196">
        <f>ATP_fill!BG17</f>
        <v>0</v>
      </c>
      <c r="AC14" s="196">
        <f>ATP_fill!BH17</f>
        <v>0</v>
      </c>
      <c r="AD14" s="196">
        <f>ATP_fill!BI17</f>
        <v>0</v>
      </c>
    </row>
    <row r="15" spans="1:30" x14ac:dyDescent="0.35">
      <c r="A15" s="4">
        <f>IF(ATP_fill!C18=0,"",ATP_fill!C18)</f>
        <v>46118</v>
      </c>
      <c r="B15" t="str">
        <f>ATP_fill!I18</f>
        <v>Build 2</v>
      </c>
      <c r="C15" t="str">
        <f>ATP_fill!E18</f>
        <v>-</v>
      </c>
      <c r="D15" t="str">
        <f>ATP_fill!F18</f>
        <v>-</v>
      </c>
      <c r="E15" s="2" t="str">
        <f>ATP_fill!G18</f>
        <v>-</v>
      </c>
      <c r="F15" s="11" t="str">
        <f>ATP_fill!AZ18</f>
        <v>FTP</v>
      </c>
      <c r="G15">
        <f>ATP_fill!AR18</f>
        <v>0</v>
      </c>
      <c r="H15" t="str">
        <f>ATP_fill!AS18</f>
        <v>1</v>
      </c>
      <c r="I15" t="str">
        <f>ATP_fill!AT18</f>
        <v>1</v>
      </c>
      <c r="J15" t="str">
        <f>ATP_fill!AU18</f>
        <v>1</v>
      </c>
      <c r="K15" t="str">
        <f>ATP_fill!AV18</f>
        <v>1</v>
      </c>
      <c r="L15" t="str">
        <f>ATP_fill!AW18</f>
        <v>1</v>
      </c>
      <c r="M15">
        <f>ATP_fill!AX18</f>
        <v>0</v>
      </c>
      <c r="N15" s="195">
        <f ca="1">ATP_fill!T18</f>
        <v>35</v>
      </c>
      <c r="O15" s="195">
        <f ca="1">ATP_fill!W18</f>
        <v>0</v>
      </c>
      <c r="P15" s="195">
        <f ca="1">ATP_fill!Z18</f>
        <v>170</v>
      </c>
      <c r="Q15" s="195">
        <f ca="1">ATP_fill!AC18</f>
        <v>150</v>
      </c>
      <c r="R15" s="195">
        <f ca="1">ATP_fill!AF18</f>
        <v>0</v>
      </c>
      <c r="S15" s="195">
        <f ca="1">ATP_fill!AI18</f>
        <v>0</v>
      </c>
      <c r="T15" s="195">
        <f ca="1">ATP_fill!AL18</f>
        <v>0</v>
      </c>
      <c r="U15" s="195">
        <f ca="1">ATP_fill!AO18</f>
        <v>0</v>
      </c>
      <c r="V15" s="195">
        <f t="shared" ca="1" si="0"/>
        <v>355</v>
      </c>
      <c r="W15" s="196">
        <f>ATP_fill!BB18</f>
        <v>0</v>
      </c>
      <c r="X15" s="196">
        <f>ATP_fill!BC18</f>
        <v>0</v>
      </c>
      <c r="Y15" s="196">
        <f>ATP_fill!BD18</f>
        <v>0</v>
      </c>
      <c r="Z15" s="196">
        <f>ATP_fill!BE18</f>
        <v>0</v>
      </c>
      <c r="AA15" s="196">
        <f>ATP_fill!BF18</f>
        <v>0</v>
      </c>
      <c r="AB15" s="196">
        <f>ATP_fill!BG18</f>
        <v>0</v>
      </c>
      <c r="AC15" s="196">
        <f>ATP_fill!BH18</f>
        <v>0</v>
      </c>
      <c r="AD15" s="196">
        <f>ATP_fill!BI18</f>
        <v>0</v>
      </c>
    </row>
    <row r="16" spans="1:30" x14ac:dyDescent="0.35">
      <c r="A16" s="4">
        <f>IF(ATP_fill!C19=0,"",ATP_fill!C19)</f>
        <v>46125</v>
      </c>
      <c r="B16" t="str">
        <f>ATP_fill!I19</f>
        <v>Build 2</v>
      </c>
      <c r="C16" t="str">
        <f>ATP_fill!E19</f>
        <v>-</v>
      </c>
      <c r="D16" t="str">
        <f>ATP_fill!F19</f>
        <v>-</v>
      </c>
      <c r="E16" s="2" t="str">
        <f>ATP_fill!G19</f>
        <v>-</v>
      </c>
      <c r="F16" s="11" t="str">
        <f>ATP_fill!AZ19</f>
        <v>AeT</v>
      </c>
      <c r="G16">
        <f>ATP_fill!AR19</f>
        <v>1</v>
      </c>
      <c r="H16" t="str">
        <f>ATP_fill!AS19</f>
        <v>1</v>
      </c>
      <c r="I16" t="str">
        <f>ATP_fill!AT19</f>
        <v>1</v>
      </c>
      <c r="J16" t="str">
        <f>ATP_fill!AU19</f>
        <v>1</v>
      </c>
      <c r="K16" t="str">
        <f>ATP_fill!AV19</f>
        <v>1</v>
      </c>
      <c r="L16" t="str">
        <f>ATP_fill!AW19</f>
        <v>1</v>
      </c>
      <c r="M16">
        <f>ATP_fill!AX19</f>
        <v>0</v>
      </c>
      <c r="N16" s="195">
        <f ca="1">ATP_fill!T19</f>
        <v>40</v>
      </c>
      <c r="O16" s="195">
        <f ca="1">ATP_fill!W19</f>
        <v>0</v>
      </c>
      <c r="P16" s="195">
        <f ca="1">ATP_fill!Z19</f>
        <v>170</v>
      </c>
      <c r="Q16" s="195">
        <f ca="1">ATP_fill!AC19</f>
        <v>150</v>
      </c>
      <c r="R16" s="195">
        <f ca="1">ATP_fill!AF19</f>
        <v>0</v>
      </c>
      <c r="S16" s="195">
        <f ca="1">ATP_fill!AI19</f>
        <v>0</v>
      </c>
      <c r="T16" s="195">
        <f ca="1">ATP_fill!AL19</f>
        <v>0</v>
      </c>
      <c r="U16" s="195">
        <f ca="1">ATP_fill!AO19</f>
        <v>0</v>
      </c>
      <c r="V16" s="195">
        <f t="shared" ca="1" si="0"/>
        <v>360</v>
      </c>
      <c r="W16" s="196">
        <f>ATP_fill!BB19</f>
        <v>0</v>
      </c>
      <c r="X16" s="196">
        <f>ATP_fill!BC19</f>
        <v>0</v>
      </c>
      <c r="Y16" s="196">
        <f>ATP_fill!BD19</f>
        <v>0</v>
      </c>
      <c r="Z16" s="196">
        <f>ATP_fill!BE19</f>
        <v>0</v>
      </c>
      <c r="AA16" s="196">
        <f>ATP_fill!BF19</f>
        <v>0</v>
      </c>
      <c r="AB16" s="196">
        <f>ATP_fill!BG19</f>
        <v>0</v>
      </c>
      <c r="AC16" s="196">
        <f>ATP_fill!BH19</f>
        <v>0</v>
      </c>
      <c r="AD16" s="196">
        <f>ATP_fill!BI19</f>
        <v>0</v>
      </c>
    </row>
    <row r="17" spans="1:30" x14ac:dyDescent="0.35">
      <c r="A17" s="4">
        <f>IF(ATP_fill!C20=0,"",ATP_fill!C20)</f>
        <v>46132</v>
      </c>
      <c r="B17" t="str">
        <f>ATP_fill!I20</f>
        <v>Build 2</v>
      </c>
      <c r="C17" t="str">
        <f>ATP_fill!E20</f>
        <v>-</v>
      </c>
      <c r="D17" t="str">
        <f>ATP_fill!F20</f>
        <v>-</v>
      </c>
      <c r="E17" s="2" t="str">
        <f>ATP_fill!G20</f>
        <v>-</v>
      </c>
      <c r="F17" s="11">
        <f>ATP_fill!AZ20</f>
        <v>0</v>
      </c>
      <c r="G17">
        <f>ATP_fill!AR20</f>
        <v>0</v>
      </c>
      <c r="H17" t="str">
        <f>ATP_fill!AS20</f>
        <v>1</v>
      </c>
      <c r="I17">
        <f>ATP_fill!AT20</f>
        <v>0</v>
      </c>
      <c r="J17" t="str">
        <f>ATP_fill!AU20</f>
        <v>1</v>
      </c>
      <c r="K17">
        <f>ATP_fill!AV20</f>
        <v>0</v>
      </c>
      <c r="L17">
        <f>ATP_fill!AW20</f>
        <v>0</v>
      </c>
      <c r="M17">
        <f>ATP_fill!AX20</f>
        <v>0</v>
      </c>
      <c r="N17" s="195">
        <f ca="1">ATP_fill!T20</f>
        <v>30</v>
      </c>
      <c r="O17" s="195">
        <f ca="1">ATP_fill!W20</f>
        <v>0</v>
      </c>
      <c r="P17" s="195">
        <f ca="1">ATP_fill!Z20</f>
        <v>170</v>
      </c>
      <c r="Q17" s="195">
        <f ca="1">ATP_fill!AC20</f>
        <v>150</v>
      </c>
      <c r="R17" s="195">
        <f ca="1">ATP_fill!AF20</f>
        <v>0</v>
      </c>
      <c r="S17" s="195">
        <f ca="1">ATP_fill!AI20</f>
        <v>0</v>
      </c>
      <c r="T17" s="195">
        <f ca="1">ATP_fill!AL20</f>
        <v>0</v>
      </c>
      <c r="U17" s="195">
        <f ca="1">ATP_fill!AO20</f>
        <v>0</v>
      </c>
      <c r="V17" s="195">
        <f t="shared" ca="1" si="0"/>
        <v>350</v>
      </c>
      <c r="W17" s="196">
        <f>ATP_fill!BB20</f>
        <v>0</v>
      </c>
      <c r="X17" s="196">
        <f>ATP_fill!BC20</f>
        <v>0</v>
      </c>
      <c r="Y17" s="196">
        <f>ATP_fill!BD20</f>
        <v>0</v>
      </c>
      <c r="Z17" s="196">
        <f>ATP_fill!BE20</f>
        <v>0</v>
      </c>
      <c r="AA17" s="196">
        <f>ATP_fill!BF20</f>
        <v>0</v>
      </c>
      <c r="AB17" s="196">
        <f>ATP_fill!BG20</f>
        <v>0</v>
      </c>
      <c r="AC17" s="196">
        <f>ATP_fill!BH20</f>
        <v>0</v>
      </c>
      <c r="AD17" s="196">
        <f>ATP_fill!BI20</f>
        <v>0</v>
      </c>
    </row>
    <row r="18" spans="1:30" x14ac:dyDescent="0.35">
      <c r="A18" s="4">
        <f>IF(ATP_fill!C21=0,"",ATP_fill!C21)</f>
        <v>46139</v>
      </c>
      <c r="B18" t="str">
        <f>ATP_fill!I21</f>
        <v>Peak</v>
      </c>
      <c r="C18" t="str">
        <f>ATP_fill!E21</f>
        <v>Koningsloop Moordrecht</v>
      </c>
      <c r="D18" t="str">
        <f>ATP_fill!F21</f>
        <v>C</v>
      </c>
      <c r="E18" s="2">
        <f>ATP_fill!G21</f>
        <v>46139</v>
      </c>
      <c r="F18" s="11">
        <f>ATP_fill!AZ21</f>
        <v>0</v>
      </c>
      <c r="G18">
        <f>ATP_fill!AR21</f>
        <v>1</v>
      </c>
      <c r="H18" t="str">
        <f>ATP_fill!AS21</f>
        <v>1</v>
      </c>
      <c r="I18">
        <f>ATP_fill!AT21</f>
        <v>0</v>
      </c>
      <c r="J18">
        <f>ATP_fill!AU21</f>
        <v>0</v>
      </c>
      <c r="K18">
        <f>ATP_fill!AV21</f>
        <v>0</v>
      </c>
      <c r="L18">
        <f>ATP_fill!AW21</f>
        <v>0</v>
      </c>
      <c r="M18">
        <f>ATP_fill!AX21</f>
        <v>0</v>
      </c>
      <c r="N18" s="195">
        <f ca="1">ATP_fill!T21</f>
        <v>0</v>
      </c>
      <c r="O18" s="195">
        <f ca="1">ATP_fill!W21</f>
        <v>0</v>
      </c>
      <c r="P18" s="195">
        <f ca="1">ATP_fill!Z21</f>
        <v>140</v>
      </c>
      <c r="Q18" s="195">
        <f ca="1">ATP_fill!AC21</f>
        <v>150</v>
      </c>
      <c r="R18" s="195">
        <f ca="1">ATP_fill!AF21</f>
        <v>0</v>
      </c>
      <c r="S18" s="195">
        <f ca="1">ATP_fill!AI21</f>
        <v>0</v>
      </c>
      <c r="T18" s="195">
        <f ca="1">ATP_fill!AL21</f>
        <v>0</v>
      </c>
      <c r="U18" s="195">
        <f ca="1">ATP_fill!AO21</f>
        <v>0</v>
      </c>
      <c r="V18" s="195">
        <f t="shared" ca="1" si="0"/>
        <v>290</v>
      </c>
      <c r="W18" s="196">
        <f>ATP_fill!BB21</f>
        <v>0</v>
      </c>
      <c r="X18" s="196">
        <f>ATP_fill!BC21</f>
        <v>0</v>
      </c>
      <c r="Y18" s="196">
        <f>ATP_fill!BD21</f>
        <v>0</v>
      </c>
      <c r="Z18" s="196">
        <f>ATP_fill!BE21</f>
        <v>0</v>
      </c>
      <c r="AA18" s="196">
        <f>ATP_fill!BF21</f>
        <v>0</v>
      </c>
      <c r="AB18" s="196">
        <f>ATP_fill!BG21</f>
        <v>0</v>
      </c>
      <c r="AC18" s="196">
        <f>ATP_fill!BH21</f>
        <v>0</v>
      </c>
      <c r="AD18" s="196">
        <f>ATP_fill!BI21</f>
        <v>0</v>
      </c>
    </row>
    <row r="19" spans="1:30" x14ac:dyDescent="0.35">
      <c r="A19" s="4">
        <f>IF(ATP_fill!C22=0,"",ATP_fill!C22)</f>
        <v>46146</v>
      </c>
      <c r="B19" t="str">
        <f>ATP_fill!I22</f>
        <v>Race</v>
      </c>
      <c r="C19" t="str">
        <f>ATP_fill!E22</f>
        <v>Go Triatlon Brouwersdam</v>
      </c>
      <c r="D19" t="str">
        <f>ATP_fill!F22</f>
        <v>A</v>
      </c>
      <c r="E19" s="2">
        <f>ATP_fill!G22</f>
        <v>46151</v>
      </c>
      <c r="F19" s="11">
        <f>ATP_fill!AZ22</f>
        <v>0</v>
      </c>
      <c r="G19">
        <f>ATP_fill!AR22</f>
        <v>0</v>
      </c>
      <c r="H19">
        <f>ATP_fill!AS22</f>
        <v>0</v>
      </c>
      <c r="I19">
        <f>ATP_fill!AT22</f>
        <v>0</v>
      </c>
      <c r="J19">
        <f>ATP_fill!AU22</f>
        <v>0</v>
      </c>
      <c r="K19">
        <f>ATP_fill!AV22</f>
        <v>0</v>
      </c>
      <c r="L19">
        <f>ATP_fill!AW22</f>
        <v>0</v>
      </c>
      <c r="M19">
        <f>ATP_fill!AX22</f>
        <v>0</v>
      </c>
      <c r="N19" s="195">
        <f ca="1">ATP_fill!T22</f>
        <v>0</v>
      </c>
      <c r="O19" s="195">
        <f ca="1">ATP_fill!W22</f>
        <v>0</v>
      </c>
      <c r="P19" s="195">
        <f ca="1">ATP_fill!Z22</f>
        <v>140</v>
      </c>
      <c r="Q19" s="195">
        <f ca="1">ATP_fill!AC22</f>
        <v>150</v>
      </c>
      <c r="R19" s="195">
        <f ca="1">ATP_fill!AF22</f>
        <v>0</v>
      </c>
      <c r="S19" s="195">
        <f ca="1">ATP_fill!AI22</f>
        <v>0</v>
      </c>
      <c r="T19" s="195">
        <f ca="1">ATP_fill!AL22</f>
        <v>0</v>
      </c>
      <c r="U19" s="195">
        <f ca="1">ATP_fill!AO22</f>
        <v>0</v>
      </c>
      <c r="V19" s="195">
        <f t="shared" ca="1" si="0"/>
        <v>290</v>
      </c>
      <c r="W19" s="196">
        <f>ATP_fill!BB22</f>
        <v>0</v>
      </c>
      <c r="X19" s="196">
        <f>ATP_fill!BC22</f>
        <v>0</v>
      </c>
      <c r="Y19" s="196">
        <f>ATP_fill!BD22</f>
        <v>0</v>
      </c>
      <c r="Z19" s="196">
        <f>ATP_fill!BE22</f>
        <v>0</v>
      </c>
      <c r="AA19" s="196">
        <f>ATP_fill!BF22</f>
        <v>0</v>
      </c>
      <c r="AB19" s="196">
        <f>ATP_fill!BG22</f>
        <v>0</v>
      </c>
      <c r="AC19" s="196">
        <f>ATP_fill!BH22</f>
        <v>0</v>
      </c>
      <c r="AD19" s="196">
        <f>ATP_fill!BI22</f>
        <v>0</v>
      </c>
    </row>
    <row r="20" spans="1:30" x14ac:dyDescent="0.35">
      <c r="A20" s="4">
        <f>IF(ATP_fill!C23=0,"",ATP_fill!C23)</f>
        <v>46153</v>
      </c>
      <c r="B20" t="str">
        <f>ATP_fill!I23</f>
        <v>Trans</v>
      </c>
      <c r="C20" t="str">
        <f>ATP_fill!E23</f>
        <v>-</v>
      </c>
      <c r="D20" t="str">
        <f>ATP_fill!F23</f>
        <v>-</v>
      </c>
      <c r="E20" s="2" t="str">
        <f>ATP_fill!G23</f>
        <v>-</v>
      </c>
      <c r="F20" s="11">
        <f>ATP_fill!AZ23</f>
        <v>0</v>
      </c>
      <c r="G20">
        <f>ATP_fill!AR23</f>
        <v>0</v>
      </c>
      <c r="H20">
        <f>ATP_fill!AS23</f>
        <v>0</v>
      </c>
      <c r="I20">
        <f>ATP_fill!AT23</f>
        <v>0</v>
      </c>
      <c r="J20">
        <f>ATP_fill!AU23</f>
        <v>0</v>
      </c>
      <c r="K20">
        <f>ATP_fill!AV23</f>
        <v>0</v>
      </c>
      <c r="L20">
        <f>ATP_fill!AW23</f>
        <v>0</v>
      </c>
      <c r="M20">
        <f>ATP_fill!AX23</f>
        <v>0</v>
      </c>
      <c r="N20" s="195">
        <f ca="1">ATP_fill!T23</f>
        <v>35</v>
      </c>
      <c r="O20" s="195">
        <f ca="1">ATP_fill!W23</f>
        <v>0</v>
      </c>
      <c r="P20" s="195">
        <f ca="1">ATP_fill!Z23</f>
        <v>170</v>
      </c>
      <c r="Q20" s="195">
        <f ca="1">ATP_fill!AC23</f>
        <v>150</v>
      </c>
      <c r="R20" s="195">
        <f ca="1">ATP_fill!AF23</f>
        <v>0</v>
      </c>
      <c r="S20" s="195">
        <f ca="1">ATP_fill!AI23</f>
        <v>0</v>
      </c>
      <c r="T20" s="195">
        <f ca="1">ATP_fill!AL23</f>
        <v>0</v>
      </c>
      <c r="U20" s="195">
        <f ca="1">ATP_fill!AO23</f>
        <v>0</v>
      </c>
      <c r="V20" s="195">
        <f t="shared" ca="1" si="0"/>
        <v>355</v>
      </c>
      <c r="W20" s="196">
        <f>ATP_fill!BB23</f>
        <v>0</v>
      </c>
      <c r="X20" s="196">
        <f>ATP_fill!BC23</f>
        <v>0</v>
      </c>
      <c r="Y20" s="196">
        <f>ATP_fill!BD23</f>
        <v>0</v>
      </c>
      <c r="Z20" s="196">
        <f>ATP_fill!BE23</f>
        <v>0</v>
      </c>
      <c r="AA20" s="196">
        <f>ATP_fill!BF23</f>
        <v>0</v>
      </c>
      <c r="AB20" s="196">
        <f>ATP_fill!BG23</f>
        <v>0</v>
      </c>
      <c r="AC20" s="196">
        <f>ATP_fill!BH23</f>
        <v>0</v>
      </c>
      <c r="AD20" s="196">
        <f>ATP_fill!BI23</f>
        <v>0</v>
      </c>
    </row>
    <row r="21" spans="1:30" x14ac:dyDescent="0.35">
      <c r="A21" s="4">
        <f>IF(ATP_fill!C24=0,"",ATP_fill!C24)</f>
        <v>46160</v>
      </c>
      <c r="B21" t="str">
        <f>ATP_fill!I24</f>
        <v>Trans</v>
      </c>
      <c r="C21" t="str">
        <f>ATP_fill!E24</f>
        <v>-</v>
      </c>
      <c r="D21" t="str">
        <f>ATP_fill!F24</f>
        <v>-</v>
      </c>
      <c r="E21" s="2" t="str">
        <f>ATP_fill!G24</f>
        <v>-</v>
      </c>
      <c r="F21" s="11">
        <f>ATP_fill!AZ24</f>
        <v>0</v>
      </c>
      <c r="G21">
        <f>ATP_fill!AR24</f>
        <v>0</v>
      </c>
      <c r="H21">
        <f>ATP_fill!AS24</f>
        <v>0</v>
      </c>
      <c r="I21">
        <f>ATP_fill!AT24</f>
        <v>0</v>
      </c>
      <c r="J21">
        <f>ATP_fill!AU24</f>
        <v>0</v>
      </c>
      <c r="K21">
        <f>ATP_fill!AV24</f>
        <v>0</v>
      </c>
      <c r="L21">
        <f>ATP_fill!AW24</f>
        <v>0</v>
      </c>
      <c r="M21">
        <f>ATP_fill!AX24</f>
        <v>0</v>
      </c>
      <c r="N21" s="195">
        <f ca="1">ATP_fill!T24</f>
        <v>35</v>
      </c>
      <c r="O21" s="195">
        <f ca="1">ATP_fill!W24</f>
        <v>0</v>
      </c>
      <c r="P21" s="195">
        <f ca="1">ATP_fill!Z24</f>
        <v>170</v>
      </c>
      <c r="Q21" s="195">
        <f ca="1">ATP_fill!AC24</f>
        <v>150</v>
      </c>
      <c r="R21" s="195">
        <f ca="1">ATP_fill!AF24</f>
        <v>0</v>
      </c>
      <c r="S21" s="195">
        <f ca="1">ATP_fill!AI24</f>
        <v>0</v>
      </c>
      <c r="T21" s="195">
        <f ca="1">ATP_fill!AL24</f>
        <v>0</v>
      </c>
      <c r="U21" s="195">
        <f ca="1">ATP_fill!AO24</f>
        <v>0</v>
      </c>
      <c r="V21" s="195">
        <f t="shared" ca="1" si="0"/>
        <v>355</v>
      </c>
      <c r="W21" s="196">
        <f>ATP_fill!BB24</f>
        <v>0</v>
      </c>
      <c r="X21" s="196">
        <f>ATP_fill!BC24</f>
        <v>0</v>
      </c>
      <c r="Y21" s="196">
        <f>ATP_fill!BD24</f>
        <v>0</v>
      </c>
      <c r="Z21" s="196">
        <f>ATP_fill!BE24</f>
        <v>0</v>
      </c>
      <c r="AA21" s="196">
        <f>ATP_fill!BF24</f>
        <v>0</v>
      </c>
      <c r="AB21" s="196">
        <f>ATP_fill!BG24</f>
        <v>0</v>
      </c>
      <c r="AC21" s="196">
        <f>ATP_fill!BH24</f>
        <v>0</v>
      </c>
      <c r="AD21" s="196">
        <f>ATP_fill!BI24</f>
        <v>0</v>
      </c>
    </row>
    <row r="22" spans="1:30" x14ac:dyDescent="0.35">
      <c r="A22" s="4">
        <f>IF(ATP_fill!C25=0,"",ATP_fill!C25)</f>
        <v>46167</v>
      </c>
      <c r="B22" t="str">
        <f>ATP_fill!I25</f>
        <v>Build 1</v>
      </c>
      <c r="C22" t="str">
        <f>ATP_fill!E25</f>
        <v>-</v>
      </c>
      <c r="D22" t="str">
        <f>ATP_fill!F25</f>
        <v>-</v>
      </c>
      <c r="E22" s="2" t="str">
        <f>ATP_fill!G25</f>
        <v>-</v>
      </c>
      <c r="F22" s="11">
        <f>ATP_fill!AZ25</f>
        <v>0</v>
      </c>
      <c r="G22">
        <f>ATP_fill!AR25</f>
        <v>0</v>
      </c>
      <c r="H22">
        <f>ATP_fill!AS25</f>
        <v>0</v>
      </c>
      <c r="I22">
        <f>ATP_fill!AT25</f>
        <v>0</v>
      </c>
      <c r="J22">
        <f>ATP_fill!AU25</f>
        <v>0</v>
      </c>
      <c r="K22">
        <f>ATP_fill!AV25</f>
        <v>0</v>
      </c>
      <c r="L22">
        <f>ATP_fill!AW25</f>
        <v>0</v>
      </c>
      <c r="M22">
        <f>ATP_fill!AX25</f>
        <v>0</v>
      </c>
      <c r="N22" s="195">
        <f ca="1">ATP_fill!T25</f>
        <v>95</v>
      </c>
      <c r="O22" s="195">
        <f ca="1">ATP_fill!W25</f>
        <v>0</v>
      </c>
      <c r="P22" s="195">
        <f ca="1">ATP_fill!Z25</f>
        <v>170</v>
      </c>
      <c r="Q22" s="195">
        <f ca="1">ATP_fill!AC25</f>
        <v>150</v>
      </c>
      <c r="R22" s="195">
        <f ca="1">ATP_fill!AF25</f>
        <v>0</v>
      </c>
      <c r="S22" s="195">
        <f ca="1">ATP_fill!AI25</f>
        <v>0</v>
      </c>
      <c r="T22" s="195">
        <f ca="1">ATP_fill!AL25</f>
        <v>0</v>
      </c>
      <c r="U22" s="195">
        <f ca="1">ATP_fill!AO25</f>
        <v>0</v>
      </c>
      <c r="V22" s="195">
        <f t="shared" ca="1" si="0"/>
        <v>415</v>
      </c>
      <c r="W22" s="196">
        <f>ATP_fill!BB25</f>
        <v>0</v>
      </c>
      <c r="X22" s="196">
        <f>ATP_fill!BC25</f>
        <v>0</v>
      </c>
      <c r="Y22" s="196">
        <f>ATP_fill!BD25</f>
        <v>0</v>
      </c>
      <c r="Z22" s="196">
        <f>ATP_fill!BE25</f>
        <v>0</v>
      </c>
      <c r="AA22" s="196">
        <f>ATP_fill!BF25</f>
        <v>0</v>
      </c>
      <c r="AB22" s="196">
        <f>ATP_fill!BG25</f>
        <v>0</v>
      </c>
      <c r="AC22" s="196">
        <f>ATP_fill!BH25</f>
        <v>0</v>
      </c>
      <c r="AD22" s="196">
        <f>ATP_fill!BI25</f>
        <v>0</v>
      </c>
    </row>
    <row r="23" spans="1:30" x14ac:dyDescent="0.35">
      <c r="A23" s="4">
        <f>IF(ATP_fill!C26=0,"",ATP_fill!C26)</f>
        <v>46174</v>
      </c>
      <c r="B23" t="str">
        <f>ATP_fill!I26</f>
        <v>Build 1</v>
      </c>
      <c r="C23" t="str">
        <f>ATP_fill!E26</f>
        <v>Teamtijdrict Recreanten Jan van Arckel</v>
      </c>
      <c r="D23" t="str">
        <f>ATP_fill!F26</f>
        <v>A</v>
      </c>
      <c r="E23" s="2">
        <f>ATP_fill!G26</f>
        <v>46176</v>
      </c>
      <c r="F23" s="11">
        <f>ATP_fill!AZ26</f>
        <v>0</v>
      </c>
      <c r="G23">
        <f>ATP_fill!AR26</f>
        <v>0</v>
      </c>
      <c r="H23">
        <f>ATP_fill!AS26</f>
        <v>0</v>
      </c>
      <c r="I23">
        <f>ATP_fill!AT26</f>
        <v>0</v>
      </c>
      <c r="J23">
        <f>ATP_fill!AU26</f>
        <v>0</v>
      </c>
      <c r="K23">
        <f>ATP_fill!AV26</f>
        <v>0</v>
      </c>
      <c r="L23">
        <f>ATP_fill!AW26</f>
        <v>0</v>
      </c>
      <c r="M23">
        <f>ATP_fill!AX26</f>
        <v>0</v>
      </c>
      <c r="N23" s="195">
        <f ca="1">ATP_fill!T26</f>
        <v>35</v>
      </c>
      <c r="O23" s="195">
        <f ca="1">ATP_fill!W26</f>
        <v>0</v>
      </c>
      <c r="P23" s="195">
        <f ca="1">ATP_fill!Z26</f>
        <v>170</v>
      </c>
      <c r="Q23" s="195">
        <f ca="1">ATP_fill!AC26</f>
        <v>0</v>
      </c>
      <c r="R23" s="195">
        <f ca="1">ATP_fill!AF26</f>
        <v>0</v>
      </c>
      <c r="S23" s="195">
        <f ca="1">ATP_fill!AI26</f>
        <v>0</v>
      </c>
      <c r="T23" s="195">
        <f ca="1">ATP_fill!AL26</f>
        <v>0</v>
      </c>
      <c r="U23" s="195">
        <f ca="1">ATP_fill!AO26</f>
        <v>0</v>
      </c>
      <c r="V23" s="195">
        <f t="shared" ca="1" si="0"/>
        <v>205</v>
      </c>
      <c r="W23" s="196">
        <f>ATP_fill!BB26</f>
        <v>0</v>
      </c>
      <c r="X23" s="196">
        <f>ATP_fill!BC26</f>
        <v>0</v>
      </c>
      <c r="Y23" s="196">
        <f>ATP_fill!BD26</f>
        <v>0</v>
      </c>
      <c r="Z23" s="196">
        <f>ATP_fill!BE26</f>
        <v>0</v>
      </c>
      <c r="AA23" s="196">
        <f>ATP_fill!BF26</f>
        <v>0</v>
      </c>
      <c r="AB23" s="196">
        <f>ATP_fill!BG26</f>
        <v>0</v>
      </c>
      <c r="AC23" s="196">
        <f>ATP_fill!BH26</f>
        <v>0</v>
      </c>
      <c r="AD23" s="196">
        <f>ATP_fill!BI26</f>
        <v>0</v>
      </c>
    </row>
    <row r="24" spans="1:30" x14ac:dyDescent="0.35">
      <c r="A24" s="4">
        <f>IF(ATP_fill!C27=0,"",ATP_fill!C27)</f>
        <v>46181</v>
      </c>
      <c r="B24" t="str">
        <f>ATP_fill!I27</f>
        <v>Build 1</v>
      </c>
      <c r="C24" t="str">
        <f>ATP_fill!E27</f>
        <v>-</v>
      </c>
      <c r="D24" t="str">
        <f>ATP_fill!F27</f>
        <v>-</v>
      </c>
      <c r="E24" s="2" t="str">
        <f>ATP_fill!G27</f>
        <v>-</v>
      </c>
      <c r="F24" s="11">
        <f>ATP_fill!AZ27</f>
        <v>0</v>
      </c>
      <c r="G24">
        <f>ATP_fill!AR27</f>
        <v>0</v>
      </c>
      <c r="H24">
        <f>ATP_fill!AS27</f>
        <v>0</v>
      </c>
      <c r="I24">
        <f>ATP_fill!AT27</f>
        <v>0</v>
      </c>
      <c r="J24">
        <f>ATP_fill!AU27</f>
        <v>0</v>
      </c>
      <c r="K24">
        <f>ATP_fill!AV27</f>
        <v>0</v>
      </c>
      <c r="L24">
        <f>ATP_fill!AW27</f>
        <v>0</v>
      </c>
      <c r="M24">
        <f>ATP_fill!AX27</f>
        <v>0</v>
      </c>
      <c r="N24" s="195">
        <f ca="1">ATP_fill!T27</f>
        <v>35</v>
      </c>
      <c r="O24" s="195">
        <f ca="1">ATP_fill!W27</f>
        <v>0</v>
      </c>
      <c r="P24" s="195">
        <f ca="1">ATP_fill!Z27</f>
        <v>170</v>
      </c>
      <c r="Q24" s="195">
        <f ca="1">ATP_fill!AC27</f>
        <v>150</v>
      </c>
      <c r="R24" s="195">
        <f ca="1">ATP_fill!AF27</f>
        <v>0</v>
      </c>
      <c r="S24" s="195">
        <f ca="1">ATP_fill!AI27</f>
        <v>0</v>
      </c>
      <c r="T24" s="195">
        <f ca="1">ATP_fill!AL27</f>
        <v>0</v>
      </c>
      <c r="U24" s="195">
        <f ca="1">ATP_fill!AO27</f>
        <v>0</v>
      </c>
      <c r="V24" s="195">
        <f t="shared" ca="1" si="0"/>
        <v>355</v>
      </c>
      <c r="W24" s="196">
        <f>ATP_fill!BB27</f>
        <v>0</v>
      </c>
      <c r="X24" s="196">
        <f>ATP_fill!BC27</f>
        <v>0</v>
      </c>
      <c r="Y24" s="196">
        <f>ATP_fill!BD27</f>
        <v>0</v>
      </c>
      <c r="Z24" s="196">
        <f>ATP_fill!BE27</f>
        <v>0</v>
      </c>
      <c r="AA24" s="196">
        <f>ATP_fill!BF27</f>
        <v>0</v>
      </c>
      <c r="AB24" s="196">
        <f>ATP_fill!BG27</f>
        <v>0</v>
      </c>
      <c r="AC24" s="196">
        <f>ATP_fill!BH27</f>
        <v>0</v>
      </c>
      <c r="AD24" s="196">
        <f>ATP_fill!BI27</f>
        <v>0</v>
      </c>
    </row>
    <row r="25" spans="1:30" x14ac:dyDescent="0.35">
      <c r="A25" s="4">
        <f>IF(ATP_fill!C28=0,"",ATP_fill!C28)</f>
        <v>46188</v>
      </c>
      <c r="B25" t="str">
        <f>ATP_fill!I28</f>
        <v>Build 2</v>
      </c>
      <c r="C25" t="str">
        <f>ATP_fill!E28</f>
        <v>-</v>
      </c>
      <c r="D25" t="str">
        <f>ATP_fill!F28</f>
        <v>-</v>
      </c>
      <c r="E25" s="2" t="str">
        <f>ATP_fill!G28</f>
        <v>-</v>
      </c>
      <c r="F25" s="11">
        <f>ATP_fill!AZ28</f>
        <v>0</v>
      </c>
      <c r="G25">
        <f>ATP_fill!AR28</f>
        <v>0</v>
      </c>
      <c r="H25">
        <f>ATP_fill!AS28</f>
        <v>0</v>
      </c>
      <c r="I25">
        <f>ATP_fill!AT28</f>
        <v>0</v>
      </c>
      <c r="J25">
        <f>ATP_fill!AU28</f>
        <v>0</v>
      </c>
      <c r="K25">
        <f>ATP_fill!AV28</f>
        <v>0</v>
      </c>
      <c r="L25">
        <f>ATP_fill!AW28</f>
        <v>0</v>
      </c>
      <c r="M25">
        <f>ATP_fill!AX28</f>
        <v>0</v>
      </c>
      <c r="N25" s="195">
        <f ca="1">ATP_fill!T28</f>
        <v>35</v>
      </c>
      <c r="O25" s="195">
        <f ca="1">ATP_fill!W28</f>
        <v>0</v>
      </c>
      <c r="P25" s="195">
        <f ca="1">ATP_fill!Z28</f>
        <v>170</v>
      </c>
      <c r="Q25" s="195">
        <f ca="1">ATP_fill!AC28</f>
        <v>150</v>
      </c>
      <c r="R25" s="195">
        <f ca="1">ATP_fill!AF28</f>
        <v>0</v>
      </c>
      <c r="S25" s="195">
        <f ca="1">ATP_fill!AI28</f>
        <v>0</v>
      </c>
      <c r="T25" s="195">
        <f ca="1">ATP_fill!AL28</f>
        <v>0</v>
      </c>
      <c r="U25" s="195">
        <f ca="1">ATP_fill!AO28</f>
        <v>0</v>
      </c>
      <c r="V25" s="195">
        <f t="shared" ca="1" si="0"/>
        <v>355</v>
      </c>
      <c r="W25" s="196">
        <f>ATP_fill!BB28</f>
        <v>0</v>
      </c>
      <c r="X25" s="196">
        <f>ATP_fill!BC28</f>
        <v>0</v>
      </c>
      <c r="Y25" s="196">
        <f>ATP_fill!BD28</f>
        <v>0</v>
      </c>
      <c r="Z25" s="196">
        <f>ATP_fill!BE28</f>
        <v>0</v>
      </c>
      <c r="AA25" s="196">
        <f>ATP_fill!BF28</f>
        <v>0</v>
      </c>
      <c r="AB25" s="196">
        <f>ATP_fill!BG28</f>
        <v>0</v>
      </c>
      <c r="AC25" s="196">
        <f>ATP_fill!BH28</f>
        <v>0</v>
      </c>
      <c r="AD25" s="196">
        <f>ATP_fill!BI28</f>
        <v>0</v>
      </c>
    </row>
    <row r="26" spans="1:30" x14ac:dyDescent="0.35">
      <c r="A26" s="4">
        <f>IF(ATP_fill!C29=0,"",ATP_fill!C29)</f>
        <v>46195</v>
      </c>
      <c r="B26" t="str">
        <f>ATP_fill!I29</f>
        <v>Build 2</v>
      </c>
      <c r="C26" t="str">
        <f>ATP_fill!E29</f>
        <v>-</v>
      </c>
      <c r="D26" t="str">
        <f>ATP_fill!F29</f>
        <v>-</v>
      </c>
      <c r="E26" s="2" t="str">
        <f>ATP_fill!G29</f>
        <v>-</v>
      </c>
      <c r="F26" s="11">
        <f>ATP_fill!AZ29</f>
        <v>0</v>
      </c>
      <c r="G26">
        <f>ATP_fill!AR29</f>
        <v>0</v>
      </c>
      <c r="H26">
        <f>ATP_fill!AS29</f>
        <v>0</v>
      </c>
      <c r="I26">
        <f>ATP_fill!AT29</f>
        <v>0</v>
      </c>
      <c r="J26">
        <f>ATP_fill!AU29</f>
        <v>0</v>
      </c>
      <c r="K26">
        <f>ATP_fill!AV29</f>
        <v>0</v>
      </c>
      <c r="L26">
        <f>ATP_fill!AW29</f>
        <v>0</v>
      </c>
      <c r="M26">
        <f>ATP_fill!AX29</f>
        <v>0</v>
      </c>
      <c r="N26" s="195">
        <f ca="1">ATP_fill!T29</f>
        <v>35</v>
      </c>
      <c r="O26" s="195">
        <f ca="1">ATP_fill!W29</f>
        <v>0</v>
      </c>
      <c r="P26" s="195">
        <f ca="1">ATP_fill!Z29</f>
        <v>170</v>
      </c>
      <c r="Q26" s="195">
        <f ca="1">ATP_fill!AC29</f>
        <v>150</v>
      </c>
      <c r="R26" s="195">
        <f ca="1">ATP_fill!AF29</f>
        <v>0</v>
      </c>
      <c r="S26" s="195">
        <f ca="1">ATP_fill!AI29</f>
        <v>0</v>
      </c>
      <c r="T26" s="195">
        <f ca="1">ATP_fill!AL29</f>
        <v>0</v>
      </c>
      <c r="U26" s="195">
        <f ca="1">ATP_fill!AO29</f>
        <v>0</v>
      </c>
      <c r="V26" s="195">
        <f t="shared" ca="1" si="0"/>
        <v>355</v>
      </c>
      <c r="W26" s="196">
        <f>ATP_fill!BB29</f>
        <v>0</v>
      </c>
      <c r="X26" s="196">
        <f>ATP_fill!BC29</f>
        <v>0</v>
      </c>
      <c r="Y26" s="196">
        <f>ATP_fill!BD29</f>
        <v>0</v>
      </c>
      <c r="Z26" s="196">
        <f>ATP_fill!BE29</f>
        <v>0</v>
      </c>
      <c r="AA26" s="196">
        <f>ATP_fill!BF29</f>
        <v>0</v>
      </c>
      <c r="AB26" s="196">
        <f>ATP_fill!BG29</f>
        <v>0</v>
      </c>
      <c r="AC26" s="196">
        <f>ATP_fill!BH29</f>
        <v>0</v>
      </c>
      <c r="AD26" s="196">
        <f>ATP_fill!BI29</f>
        <v>0</v>
      </c>
    </row>
    <row r="27" spans="1:30" x14ac:dyDescent="0.35">
      <c r="A27" s="4">
        <f>IF(ATP_fill!C30=0,"",ATP_fill!C30)</f>
        <v>46202</v>
      </c>
      <c r="B27" t="str">
        <f>ATP_fill!I30</f>
        <v>Build 2</v>
      </c>
      <c r="C27" t="str">
        <f>ATP_fill!E30</f>
        <v>-</v>
      </c>
      <c r="D27" t="str">
        <f>ATP_fill!F30</f>
        <v>-</v>
      </c>
      <c r="E27" s="2" t="str">
        <f>ATP_fill!G30</f>
        <v>-</v>
      </c>
      <c r="F27" s="11">
        <f>ATP_fill!AZ30</f>
        <v>0</v>
      </c>
      <c r="G27">
        <f>ATP_fill!AR30</f>
        <v>0</v>
      </c>
      <c r="H27">
        <f>ATP_fill!AS30</f>
        <v>0</v>
      </c>
      <c r="I27">
        <f>ATP_fill!AT30</f>
        <v>0</v>
      </c>
      <c r="J27">
        <f>ATP_fill!AU30</f>
        <v>0</v>
      </c>
      <c r="K27">
        <f>ATP_fill!AV30</f>
        <v>0</v>
      </c>
      <c r="L27">
        <f>ATP_fill!AW30</f>
        <v>0</v>
      </c>
      <c r="M27">
        <f>ATP_fill!AX30</f>
        <v>0</v>
      </c>
      <c r="N27" s="195">
        <f ca="1">ATP_fill!T30</f>
        <v>35</v>
      </c>
      <c r="O27" s="195">
        <f ca="1">ATP_fill!W30</f>
        <v>0</v>
      </c>
      <c r="P27" s="195">
        <f ca="1">ATP_fill!Z30</f>
        <v>170</v>
      </c>
      <c r="Q27" s="195">
        <f ca="1">ATP_fill!AC30</f>
        <v>150</v>
      </c>
      <c r="R27" s="195">
        <f ca="1">ATP_fill!AF30</f>
        <v>0</v>
      </c>
      <c r="S27" s="195">
        <f ca="1">ATP_fill!AI30</f>
        <v>0</v>
      </c>
      <c r="T27" s="195">
        <f ca="1">ATP_fill!AL30</f>
        <v>0</v>
      </c>
      <c r="U27" s="195">
        <f ca="1">ATP_fill!AO30</f>
        <v>0</v>
      </c>
      <c r="V27" s="195">
        <f t="shared" ca="1" si="0"/>
        <v>355</v>
      </c>
      <c r="W27" s="196">
        <f>ATP_fill!BB30</f>
        <v>0</v>
      </c>
      <c r="X27" s="196">
        <f>ATP_fill!BC30</f>
        <v>0</v>
      </c>
      <c r="Y27" s="196">
        <f>ATP_fill!BD30</f>
        <v>0</v>
      </c>
      <c r="Z27" s="196">
        <f>ATP_fill!BE30</f>
        <v>0</v>
      </c>
      <c r="AA27" s="196">
        <f>ATP_fill!BF30</f>
        <v>0</v>
      </c>
      <c r="AB27" s="196">
        <f>ATP_fill!BG30</f>
        <v>0</v>
      </c>
      <c r="AC27" s="196">
        <f>ATP_fill!BH30</f>
        <v>0</v>
      </c>
      <c r="AD27" s="196">
        <f>ATP_fill!BI30</f>
        <v>0</v>
      </c>
    </row>
    <row r="28" spans="1:30" x14ac:dyDescent="0.35">
      <c r="A28" s="4">
        <f>IF(ATP_fill!C31=0,"",ATP_fill!C31)</f>
        <v>46209</v>
      </c>
      <c r="B28" t="str">
        <f>ATP_fill!I31</f>
        <v>Trans</v>
      </c>
      <c r="C28" t="str">
        <f>ATP_fill!E31</f>
        <v>-</v>
      </c>
      <c r="D28" t="str">
        <f>ATP_fill!F31</f>
        <v>-</v>
      </c>
      <c r="E28" s="2" t="str">
        <f>ATP_fill!G31</f>
        <v>-</v>
      </c>
      <c r="F28" s="11">
        <f>ATP_fill!AZ31</f>
        <v>0</v>
      </c>
      <c r="G28">
        <f>ATP_fill!AR31</f>
        <v>0</v>
      </c>
      <c r="H28">
        <f>ATP_fill!AS31</f>
        <v>0</v>
      </c>
      <c r="I28">
        <f>ATP_fill!AT31</f>
        <v>0</v>
      </c>
      <c r="J28">
        <f>ATP_fill!AU31</f>
        <v>0</v>
      </c>
      <c r="K28">
        <f>ATP_fill!AV31</f>
        <v>0</v>
      </c>
      <c r="L28">
        <f>ATP_fill!AW31</f>
        <v>0</v>
      </c>
      <c r="M28">
        <f>ATP_fill!AX31</f>
        <v>0</v>
      </c>
      <c r="N28" s="195">
        <f ca="1">ATP_fill!T31</f>
        <v>35</v>
      </c>
      <c r="O28" s="195">
        <f ca="1">ATP_fill!W31</f>
        <v>0</v>
      </c>
      <c r="P28" s="195">
        <f ca="1">ATP_fill!Z31</f>
        <v>170</v>
      </c>
      <c r="Q28" s="195">
        <f ca="1">ATP_fill!AC31</f>
        <v>150</v>
      </c>
      <c r="R28" s="195">
        <f ca="1">ATP_fill!AF31</f>
        <v>0</v>
      </c>
      <c r="S28" s="195">
        <f ca="1">ATP_fill!AI31</f>
        <v>0</v>
      </c>
      <c r="T28" s="195">
        <f ca="1">ATP_fill!AL31</f>
        <v>0</v>
      </c>
      <c r="U28" s="195">
        <f ca="1">ATP_fill!AO31</f>
        <v>0</v>
      </c>
      <c r="V28" s="195">
        <f t="shared" ca="1" si="0"/>
        <v>355</v>
      </c>
      <c r="W28" s="196">
        <f>ATP_fill!BB31</f>
        <v>0</v>
      </c>
      <c r="X28" s="196">
        <f>ATP_fill!BC31</f>
        <v>0</v>
      </c>
      <c r="Y28" s="196">
        <f>ATP_fill!BD31</f>
        <v>0</v>
      </c>
      <c r="Z28" s="196">
        <f>ATP_fill!BE31</f>
        <v>0</v>
      </c>
      <c r="AA28" s="196">
        <f>ATP_fill!BF31</f>
        <v>0</v>
      </c>
      <c r="AB28" s="196">
        <f>ATP_fill!BG31</f>
        <v>0</v>
      </c>
      <c r="AC28" s="196">
        <f>ATP_fill!BH31</f>
        <v>0</v>
      </c>
      <c r="AD28" s="196">
        <f>ATP_fill!BI31</f>
        <v>0</v>
      </c>
    </row>
    <row r="29" spans="1:30" x14ac:dyDescent="0.35">
      <c r="A29" s="4">
        <f>IF(ATP_fill!C32=0,"",ATP_fill!C32)</f>
        <v>46216</v>
      </c>
      <c r="B29" t="str">
        <f>ATP_fill!I32</f>
        <v>Trans</v>
      </c>
      <c r="C29" t="str">
        <f>ATP_fill!E32</f>
        <v>-</v>
      </c>
      <c r="D29" t="str">
        <f>ATP_fill!F32</f>
        <v>-</v>
      </c>
      <c r="E29" s="2" t="str">
        <f>ATP_fill!G32</f>
        <v>-</v>
      </c>
      <c r="F29" s="11">
        <f>ATP_fill!AZ32</f>
        <v>0</v>
      </c>
      <c r="G29">
        <f>ATP_fill!AR32</f>
        <v>0</v>
      </c>
      <c r="H29">
        <f>ATP_fill!AS32</f>
        <v>0</v>
      </c>
      <c r="I29">
        <f>ATP_fill!AT32</f>
        <v>0</v>
      </c>
      <c r="J29">
        <f>ATP_fill!AU32</f>
        <v>0</v>
      </c>
      <c r="K29">
        <f>ATP_fill!AV32</f>
        <v>0</v>
      </c>
      <c r="L29">
        <f>ATP_fill!AW32</f>
        <v>0</v>
      </c>
      <c r="M29">
        <f>ATP_fill!AX32</f>
        <v>0</v>
      </c>
      <c r="N29" s="195">
        <f ca="1">ATP_fill!T32</f>
        <v>35</v>
      </c>
      <c r="O29" s="195">
        <f ca="1">ATP_fill!W32</f>
        <v>0</v>
      </c>
      <c r="P29" s="195">
        <f ca="1">ATP_fill!Z32</f>
        <v>170</v>
      </c>
      <c r="Q29" s="195">
        <f ca="1">ATP_fill!AC32</f>
        <v>150</v>
      </c>
      <c r="R29" s="195">
        <f ca="1">ATP_fill!AF32</f>
        <v>0</v>
      </c>
      <c r="S29" s="195">
        <f ca="1">ATP_fill!AI32</f>
        <v>0</v>
      </c>
      <c r="T29" s="195">
        <f ca="1">ATP_fill!AL32</f>
        <v>0</v>
      </c>
      <c r="U29" s="195">
        <f ca="1">ATP_fill!AO32</f>
        <v>0</v>
      </c>
      <c r="V29" s="195">
        <f t="shared" ca="1" si="0"/>
        <v>355</v>
      </c>
      <c r="W29" s="196">
        <f>ATP_fill!BB32</f>
        <v>0</v>
      </c>
      <c r="X29" s="196">
        <f>ATP_fill!BC32</f>
        <v>0</v>
      </c>
      <c r="Y29" s="196">
        <f>ATP_fill!BD32</f>
        <v>0</v>
      </c>
      <c r="Z29" s="196">
        <f>ATP_fill!BE32</f>
        <v>0</v>
      </c>
      <c r="AA29" s="196">
        <f>ATP_fill!BF32</f>
        <v>0</v>
      </c>
      <c r="AB29" s="196">
        <f>ATP_fill!BG32</f>
        <v>0</v>
      </c>
      <c r="AC29" s="196">
        <f>ATP_fill!BH32</f>
        <v>0</v>
      </c>
      <c r="AD29" s="196">
        <f>ATP_fill!BI32</f>
        <v>0</v>
      </c>
    </row>
    <row r="30" spans="1:30" x14ac:dyDescent="0.35">
      <c r="A30" s="4">
        <f>IF(ATP_fill!C33=0,"",ATP_fill!C33)</f>
        <v>46223</v>
      </c>
      <c r="B30" t="str">
        <f>ATP_fill!I33</f>
        <v>Trans</v>
      </c>
      <c r="C30" t="str">
        <f>ATP_fill!E33</f>
        <v>-</v>
      </c>
      <c r="D30" t="str">
        <f>ATP_fill!F33</f>
        <v>-</v>
      </c>
      <c r="E30" s="2" t="str">
        <f>ATP_fill!G33</f>
        <v>-</v>
      </c>
      <c r="F30" s="11">
        <f>ATP_fill!AZ33</f>
        <v>0</v>
      </c>
      <c r="G30">
        <f>ATP_fill!AR33</f>
        <v>0</v>
      </c>
      <c r="H30">
        <f>ATP_fill!AS33</f>
        <v>0</v>
      </c>
      <c r="I30">
        <f>ATP_fill!AT33</f>
        <v>0</v>
      </c>
      <c r="J30">
        <f>ATP_fill!AU33</f>
        <v>0</v>
      </c>
      <c r="K30">
        <f>ATP_fill!AV33</f>
        <v>0</v>
      </c>
      <c r="L30">
        <f>ATP_fill!AW33</f>
        <v>0</v>
      </c>
      <c r="M30">
        <f>ATP_fill!AX33</f>
        <v>0</v>
      </c>
      <c r="N30" s="195">
        <f ca="1">ATP_fill!T33</f>
        <v>35</v>
      </c>
      <c r="O30" s="195">
        <f ca="1">ATP_fill!W33</f>
        <v>0</v>
      </c>
      <c r="P30" s="195">
        <f ca="1">ATP_fill!Z33</f>
        <v>170</v>
      </c>
      <c r="Q30" s="195">
        <f ca="1">ATP_fill!AC33</f>
        <v>150</v>
      </c>
      <c r="R30" s="195">
        <f ca="1">ATP_fill!AF33</f>
        <v>0</v>
      </c>
      <c r="S30" s="195">
        <f ca="1">ATP_fill!AI33</f>
        <v>0</v>
      </c>
      <c r="T30" s="195">
        <f ca="1">ATP_fill!AL33</f>
        <v>0</v>
      </c>
      <c r="U30" s="195">
        <f ca="1">ATP_fill!AO33</f>
        <v>0</v>
      </c>
      <c r="V30" s="195">
        <f t="shared" ca="1" si="0"/>
        <v>355</v>
      </c>
      <c r="W30" s="196">
        <f>ATP_fill!BB33</f>
        <v>0</v>
      </c>
      <c r="X30" s="196">
        <f>ATP_fill!BC33</f>
        <v>0</v>
      </c>
      <c r="Y30" s="196">
        <f>ATP_fill!BD33</f>
        <v>0</v>
      </c>
      <c r="Z30" s="196">
        <f>ATP_fill!BE33</f>
        <v>0</v>
      </c>
      <c r="AA30" s="196">
        <f>ATP_fill!BF33</f>
        <v>0</v>
      </c>
      <c r="AB30" s="196">
        <f>ATP_fill!BG33</f>
        <v>0</v>
      </c>
      <c r="AC30" s="196">
        <f>ATP_fill!BH33</f>
        <v>0</v>
      </c>
      <c r="AD30" s="196">
        <f>ATP_fill!BI33</f>
        <v>0</v>
      </c>
    </row>
    <row r="31" spans="1:30" x14ac:dyDescent="0.35">
      <c r="A31" s="4">
        <f>IF(ATP_fill!C34=0,"",ATP_fill!C34)</f>
        <v>46230</v>
      </c>
      <c r="B31" t="str">
        <f>ATP_fill!I34</f>
        <v>Build 2</v>
      </c>
      <c r="C31" t="str">
        <f>ATP_fill!E34</f>
        <v>-</v>
      </c>
      <c r="D31" t="str">
        <f>ATP_fill!F34</f>
        <v>-</v>
      </c>
      <c r="E31" s="2" t="str">
        <f>ATP_fill!G34</f>
        <v>-</v>
      </c>
      <c r="F31" s="11">
        <f>ATP_fill!AZ34</f>
        <v>0</v>
      </c>
      <c r="G31">
        <f>ATP_fill!AR34</f>
        <v>0</v>
      </c>
      <c r="H31">
        <f>ATP_fill!AS34</f>
        <v>0</v>
      </c>
      <c r="I31">
        <f>ATP_fill!AT34</f>
        <v>0</v>
      </c>
      <c r="J31">
        <f>ATP_fill!AU34</f>
        <v>0</v>
      </c>
      <c r="K31">
        <f>ATP_fill!AV34</f>
        <v>0</v>
      </c>
      <c r="L31">
        <f>ATP_fill!AW34</f>
        <v>0</v>
      </c>
      <c r="M31">
        <f>ATP_fill!AX34</f>
        <v>0</v>
      </c>
      <c r="N31" s="195">
        <f ca="1">ATP_fill!T34</f>
        <v>35</v>
      </c>
      <c r="O31" s="195">
        <f ca="1">ATP_fill!W34</f>
        <v>0</v>
      </c>
      <c r="P31" s="195">
        <f ca="1">ATP_fill!Z34</f>
        <v>170</v>
      </c>
      <c r="Q31" s="195">
        <f ca="1">ATP_fill!AC34</f>
        <v>150</v>
      </c>
      <c r="R31" s="195">
        <f ca="1">ATP_fill!AF34</f>
        <v>0</v>
      </c>
      <c r="S31" s="195">
        <f ca="1">ATP_fill!AI34</f>
        <v>0</v>
      </c>
      <c r="T31" s="195">
        <f ca="1">ATP_fill!AL34</f>
        <v>0</v>
      </c>
      <c r="U31" s="195">
        <f ca="1">ATP_fill!AO34</f>
        <v>0</v>
      </c>
      <c r="V31" s="195">
        <f t="shared" ca="1" si="0"/>
        <v>355</v>
      </c>
      <c r="W31" s="196">
        <f>ATP_fill!BB34</f>
        <v>0</v>
      </c>
      <c r="X31" s="196">
        <f>ATP_fill!BC34</f>
        <v>0</v>
      </c>
      <c r="Y31" s="196">
        <f>ATP_fill!BD34</f>
        <v>0</v>
      </c>
      <c r="Z31" s="196">
        <f>ATP_fill!BE34</f>
        <v>0</v>
      </c>
      <c r="AA31" s="196">
        <f>ATP_fill!BF34</f>
        <v>0</v>
      </c>
      <c r="AB31" s="196">
        <f>ATP_fill!BG34</f>
        <v>0</v>
      </c>
      <c r="AC31" s="196">
        <f>ATP_fill!BH34</f>
        <v>0</v>
      </c>
      <c r="AD31" s="196">
        <f>ATP_fill!BI34</f>
        <v>0</v>
      </c>
    </row>
    <row r="32" spans="1:30" x14ac:dyDescent="0.35">
      <c r="A32" s="4">
        <f>IF(ATP_fill!C35=0,"",ATP_fill!C35)</f>
        <v>46237</v>
      </c>
      <c r="B32" t="str">
        <f>ATP_fill!I35</f>
        <v>Build 2</v>
      </c>
      <c r="C32" t="str">
        <f>ATP_fill!E35</f>
        <v>-</v>
      </c>
      <c r="D32" t="str">
        <f>ATP_fill!F35</f>
        <v>-</v>
      </c>
      <c r="E32" s="2" t="str">
        <f>ATP_fill!G35</f>
        <v>-</v>
      </c>
      <c r="F32" s="11">
        <f>ATP_fill!AZ35</f>
        <v>0</v>
      </c>
      <c r="G32">
        <f>ATP_fill!AR35</f>
        <v>0</v>
      </c>
      <c r="H32">
        <f>ATP_fill!AS35</f>
        <v>0</v>
      </c>
      <c r="I32">
        <f>ATP_fill!AT35</f>
        <v>0</v>
      </c>
      <c r="J32">
        <f>ATP_fill!AU35</f>
        <v>0</v>
      </c>
      <c r="K32">
        <f>ATP_fill!AV35</f>
        <v>0</v>
      </c>
      <c r="L32">
        <f>ATP_fill!AW35</f>
        <v>0</v>
      </c>
      <c r="M32">
        <f>ATP_fill!AX35</f>
        <v>0</v>
      </c>
      <c r="N32" s="195">
        <f ca="1">ATP_fill!T35</f>
        <v>0</v>
      </c>
      <c r="O32" s="195">
        <f ca="1">ATP_fill!W35</f>
        <v>0</v>
      </c>
      <c r="P32" s="195">
        <f ca="1">ATP_fill!Z35</f>
        <v>140</v>
      </c>
      <c r="Q32" s="195">
        <f ca="1">ATP_fill!AC35</f>
        <v>150</v>
      </c>
      <c r="R32" s="195">
        <f ca="1">ATP_fill!AF35</f>
        <v>0</v>
      </c>
      <c r="S32" s="195">
        <f ca="1">ATP_fill!AI35</f>
        <v>0</v>
      </c>
      <c r="T32" s="195">
        <f ca="1">ATP_fill!AL35</f>
        <v>0</v>
      </c>
      <c r="U32" s="195">
        <f ca="1">ATP_fill!AO35</f>
        <v>0</v>
      </c>
      <c r="V32" s="195">
        <f t="shared" ca="1" si="0"/>
        <v>290</v>
      </c>
      <c r="W32" s="196">
        <f>ATP_fill!BB35</f>
        <v>0</v>
      </c>
      <c r="X32" s="196">
        <f>ATP_fill!BC35</f>
        <v>0</v>
      </c>
      <c r="Y32" s="196">
        <f>ATP_fill!BD35</f>
        <v>0</v>
      </c>
      <c r="Z32" s="196">
        <f>ATP_fill!BE35</f>
        <v>0</v>
      </c>
      <c r="AA32" s="196">
        <f>ATP_fill!BF35</f>
        <v>0</v>
      </c>
      <c r="AB32" s="196">
        <f>ATP_fill!BG35</f>
        <v>0</v>
      </c>
      <c r="AC32" s="196">
        <f>ATP_fill!BH35</f>
        <v>0</v>
      </c>
      <c r="AD32" s="196">
        <f>ATP_fill!BI35</f>
        <v>0</v>
      </c>
    </row>
    <row r="33" spans="1:30" x14ac:dyDescent="0.35">
      <c r="A33" s="4">
        <f>IF(ATP_fill!C36=0,"",ATP_fill!C36)</f>
        <v>46244</v>
      </c>
      <c r="B33" t="str">
        <f>ATP_fill!I36</f>
        <v>Build 2</v>
      </c>
      <c r="C33" t="str">
        <f>ATP_fill!E36</f>
        <v>-</v>
      </c>
      <c r="D33" t="str">
        <f>ATP_fill!F36</f>
        <v>-</v>
      </c>
      <c r="E33" s="2" t="str">
        <f>ATP_fill!G36</f>
        <v>-</v>
      </c>
      <c r="F33" s="11">
        <f>ATP_fill!AZ36</f>
        <v>0</v>
      </c>
      <c r="G33">
        <f>ATP_fill!AR36</f>
        <v>0</v>
      </c>
      <c r="H33">
        <f>ATP_fill!AS36</f>
        <v>0</v>
      </c>
      <c r="I33">
        <f>ATP_fill!AT36</f>
        <v>0</v>
      </c>
      <c r="J33">
        <f>ATP_fill!AU36</f>
        <v>0</v>
      </c>
      <c r="K33">
        <f>ATP_fill!AV36</f>
        <v>0</v>
      </c>
      <c r="L33">
        <f>ATP_fill!AW36</f>
        <v>0</v>
      </c>
      <c r="M33">
        <f>ATP_fill!AX36</f>
        <v>0</v>
      </c>
      <c r="N33" s="195">
        <f ca="1">ATP_fill!T36</f>
        <v>0</v>
      </c>
      <c r="O33" s="195">
        <f ca="1">ATP_fill!W36</f>
        <v>0</v>
      </c>
      <c r="P33" s="195">
        <f ca="1">ATP_fill!Z36</f>
        <v>0</v>
      </c>
      <c r="Q33" s="195">
        <f ca="1">ATP_fill!AC36</f>
        <v>150</v>
      </c>
      <c r="R33" s="195">
        <f ca="1">ATP_fill!AF36</f>
        <v>0</v>
      </c>
      <c r="S33" s="195">
        <f ca="1">ATP_fill!AI36</f>
        <v>0</v>
      </c>
      <c r="T33" s="195">
        <f ca="1">ATP_fill!AL36</f>
        <v>0</v>
      </c>
      <c r="U33" s="195">
        <f ca="1">ATP_fill!AO36</f>
        <v>0</v>
      </c>
      <c r="V33" s="195">
        <f t="shared" ca="1" si="0"/>
        <v>150</v>
      </c>
      <c r="W33" s="196">
        <f>ATP_fill!BB36</f>
        <v>0</v>
      </c>
      <c r="X33" s="196">
        <f>ATP_fill!BC36</f>
        <v>0</v>
      </c>
      <c r="Y33" s="196">
        <f>ATP_fill!BD36</f>
        <v>0</v>
      </c>
      <c r="Z33" s="196">
        <f>ATP_fill!BE36</f>
        <v>0</v>
      </c>
      <c r="AA33" s="196">
        <f>ATP_fill!BF36</f>
        <v>0</v>
      </c>
      <c r="AB33" s="196">
        <f>ATP_fill!BG36</f>
        <v>0</v>
      </c>
      <c r="AC33" s="196">
        <f>ATP_fill!BH36</f>
        <v>0</v>
      </c>
      <c r="AD33" s="196">
        <f>ATP_fill!BI36</f>
        <v>0</v>
      </c>
    </row>
    <row r="34" spans="1:30" x14ac:dyDescent="0.35">
      <c r="A34" s="4">
        <f>IF(ATP_fill!C37=0,"",ATP_fill!C37)</f>
        <v>46251</v>
      </c>
      <c r="B34" t="str">
        <f>ATP_fill!I37</f>
        <v>Build 2</v>
      </c>
      <c r="C34" t="str">
        <f>ATP_fill!E37</f>
        <v>De 42e editie Kwart(je) &amp; Trio Triathlon Anna Paulowna</v>
      </c>
      <c r="D34" t="str">
        <f>ATP_fill!F37</f>
        <v>B</v>
      </c>
      <c r="E34" s="2">
        <f>ATP_fill!G37</f>
        <v>46256</v>
      </c>
      <c r="F34" s="11">
        <f>ATP_fill!AZ37</f>
        <v>0</v>
      </c>
      <c r="G34">
        <f>ATP_fill!AR37</f>
        <v>0</v>
      </c>
      <c r="H34">
        <f>ATP_fill!AS37</f>
        <v>0</v>
      </c>
      <c r="I34">
        <f>ATP_fill!AT37</f>
        <v>0</v>
      </c>
      <c r="J34">
        <f>ATP_fill!AU37</f>
        <v>0</v>
      </c>
      <c r="K34">
        <f>ATP_fill!AV37</f>
        <v>0</v>
      </c>
      <c r="L34">
        <f>ATP_fill!AW37</f>
        <v>0</v>
      </c>
      <c r="M34">
        <f>ATP_fill!AX37</f>
        <v>0</v>
      </c>
      <c r="N34" s="195">
        <f ca="1">ATP_fill!T37</f>
        <v>0</v>
      </c>
      <c r="O34" s="195">
        <f ca="1">ATP_fill!W37</f>
        <v>0</v>
      </c>
      <c r="P34" s="195">
        <f ca="1">ATP_fill!Z37</f>
        <v>0</v>
      </c>
      <c r="Q34" s="195">
        <f ca="1">ATP_fill!AC37</f>
        <v>150</v>
      </c>
      <c r="R34" s="195">
        <f ca="1">ATP_fill!AF37</f>
        <v>0</v>
      </c>
      <c r="S34" s="195">
        <f ca="1">ATP_fill!AI37</f>
        <v>0</v>
      </c>
      <c r="T34" s="195">
        <f ca="1">ATP_fill!AL37</f>
        <v>0</v>
      </c>
      <c r="U34" s="195">
        <f ca="1">ATP_fill!AO37</f>
        <v>0</v>
      </c>
      <c r="V34" s="195">
        <f t="shared" ca="1" si="0"/>
        <v>150</v>
      </c>
      <c r="W34" s="196">
        <f>ATP_fill!BB37</f>
        <v>0</v>
      </c>
      <c r="X34" s="196">
        <f>ATP_fill!BC37</f>
        <v>0</v>
      </c>
      <c r="Y34" s="196">
        <f>ATP_fill!BD37</f>
        <v>0</v>
      </c>
      <c r="Z34" s="196">
        <f>ATP_fill!BE37</f>
        <v>0</v>
      </c>
      <c r="AA34" s="196">
        <f>ATP_fill!BF37</f>
        <v>0</v>
      </c>
      <c r="AB34" s="196">
        <f>ATP_fill!BG37</f>
        <v>0</v>
      </c>
      <c r="AC34" s="196">
        <f>ATP_fill!BH37</f>
        <v>0</v>
      </c>
      <c r="AD34" s="196">
        <f>ATP_fill!BI37</f>
        <v>0</v>
      </c>
    </row>
    <row r="35" spans="1:30" x14ac:dyDescent="0.35">
      <c r="A35" s="4">
        <f>IF(ATP_fill!C38=0,"",ATP_fill!C38)</f>
        <v>46258</v>
      </c>
      <c r="B35" t="str">
        <f>ATP_fill!I38</f>
        <v>Build 2</v>
      </c>
      <c r="C35" t="str">
        <f>ATP_fill!E38</f>
        <v>-</v>
      </c>
      <c r="D35" t="str">
        <f>ATP_fill!F38</f>
        <v>-</v>
      </c>
      <c r="E35" s="2" t="str">
        <f>ATP_fill!G38</f>
        <v>-</v>
      </c>
      <c r="F35" s="11">
        <f>ATP_fill!AZ38</f>
        <v>0</v>
      </c>
      <c r="G35">
        <f>ATP_fill!AR38</f>
        <v>0</v>
      </c>
      <c r="H35">
        <f>ATP_fill!AS38</f>
        <v>0</v>
      </c>
      <c r="I35">
        <f>ATP_fill!AT38</f>
        <v>0</v>
      </c>
      <c r="J35">
        <f>ATP_fill!AU38</f>
        <v>0</v>
      </c>
      <c r="K35">
        <f>ATP_fill!AV38</f>
        <v>0</v>
      </c>
      <c r="L35">
        <f>ATP_fill!AW38</f>
        <v>0</v>
      </c>
      <c r="M35">
        <f>ATP_fill!AX38</f>
        <v>0</v>
      </c>
      <c r="N35" s="195">
        <f ca="1">ATP_fill!T38</f>
        <v>0</v>
      </c>
      <c r="O35" s="195">
        <f ca="1">ATP_fill!W38</f>
        <v>0</v>
      </c>
      <c r="P35" s="195">
        <f ca="1">ATP_fill!Z38</f>
        <v>0</v>
      </c>
      <c r="Q35" s="195">
        <f ca="1">ATP_fill!AC38</f>
        <v>150</v>
      </c>
      <c r="R35" s="195">
        <f ca="1">ATP_fill!AF38</f>
        <v>0</v>
      </c>
      <c r="S35" s="195">
        <f ca="1">ATP_fill!AI38</f>
        <v>0</v>
      </c>
      <c r="T35" s="195">
        <f ca="1">ATP_fill!AL38</f>
        <v>0</v>
      </c>
      <c r="U35" s="195">
        <f ca="1">ATP_fill!AO38</f>
        <v>0</v>
      </c>
      <c r="V35" s="195">
        <f t="shared" ca="1" si="0"/>
        <v>150</v>
      </c>
      <c r="W35" s="196">
        <f>ATP_fill!BB38</f>
        <v>0</v>
      </c>
      <c r="X35" s="196">
        <f>ATP_fill!BC38</f>
        <v>0</v>
      </c>
      <c r="Y35" s="196">
        <f>ATP_fill!BD38</f>
        <v>0</v>
      </c>
      <c r="Z35" s="196">
        <f>ATP_fill!BE38</f>
        <v>0</v>
      </c>
      <c r="AA35" s="196">
        <f>ATP_fill!BF38</f>
        <v>0</v>
      </c>
      <c r="AB35" s="196">
        <f>ATP_fill!BG38</f>
        <v>0</v>
      </c>
      <c r="AC35" s="196">
        <f>ATP_fill!BH38</f>
        <v>0</v>
      </c>
      <c r="AD35" s="196">
        <f>ATP_fill!BI38</f>
        <v>0</v>
      </c>
    </row>
    <row r="36" spans="1:30" x14ac:dyDescent="0.35">
      <c r="A36" s="4">
        <f>IF(ATP_fill!C39=0,"",ATP_fill!C39)</f>
        <v>46265</v>
      </c>
      <c r="B36" t="str">
        <f>ATP_fill!I39</f>
        <v>Build 2</v>
      </c>
      <c r="C36" t="str">
        <f>ATP_fill!E39</f>
        <v>-</v>
      </c>
      <c r="D36" t="str">
        <f>ATP_fill!F39</f>
        <v>-</v>
      </c>
      <c r="E36" s="2" t="str">
        <f>ATP_fill!G39</f>
        <v>-</v>
      </c>
      <c r="F36" s="11">
        <f>ATP_fill!AZ39</f>
        <v>0</v>
      </c>
      <c r="G36">
        <f>ATP_fill!AR39</f>
        <v>0</v>
      </c>
      <c r="H36">
        <f>ATP_fill!AS39</f>
        <v>0</v>
      </c>
      <c r="I36">
        <f>ATP_fill!AT39</f>
        <v>0</v>
      </c>
      <c r="J36">
        <f>ATP_fill!AU39</f>
        <v>0</v>
      </c>
      <c r="K36">
        <f>ATP_fill!AV39</f>
        <v>0</v>
      </c>
      <c r="L36">
        <f>ATP_fill!AW39</f>
        <v>0</v>
      </c>
      <c r="M36">
        <f>ATP_fill!AX39</f>
        <v>0</v>
      </c>
      <c r="N36" s="195">
        <f ca="1">ATP_fill!T39</f>
        <v>0</v>
      </c>
      <c r="O36" s="195">
        <f ca="1">ATP_fill!W39</f>
        <v>0</v>
      </c>
      <c r="P36" s="195">
        <f ca="1">ATP_fill!Z39</f>
        <v>0</v>
      </c>
      <c r="Q36" s="195">
        <f ca="1">ATP_fill!AC39</f>
        <v>150</v>
      </c>
      <c r="R36" s="195">
        <f ca="1">ATP_fill!AF39</f>
        <v>0</v>
      </c>
      <c r="S36" s="195">
        <f ca="1">ATP_fill!AI39</f>
        <v>0</v>
      </c>
      <c r="T36" s="195">
        <f ca="1">ATP_fill!AL39</f>
        <v>0</v>
      </c>
      <c r="U36" s="195">
        <f ca="1">ATP_fill!AO39</f>
        <v>0</v>
      </c>
      <c r="V36" s="195">
        <f t="shared" ca="1" si="0"/>
        <v>150</v>
      </c>
      <c r="W36" s="196">
        <f>ATP_fill!BB39</f>
        <v>0</v>
      </c>
      <c r="X36" s="196">
        <f>ATP_fill!BC39</f>
        <v>0</v>
      </c>
      <c r="Y36" s="196">
        <f>ATP_fill!BD39</f>
        <v>0</v>
      </c>
      <c r="Z36" s="196">
        <f>ATP_fill!BE39</f>
        <v>0</v>
      </c>
      <c r="AA36" s="196">
        <f>ATP_fill!BF39</f>
        <v>0</v>
      </c>
      <c r="AB36" s="196">
        <f>ATP_fill!BG39</f>
        <v>0</v>
      </c>
      <c r="AC36" s="196">
        <f>ATP_fill!BH39</f>
        <v>0</v>
      </c>
      <c r="AD36" s="196">
        <f>ATP_fill!BI39</f>
        <v>0</v>
      </c>
    </row>
    <row r="37" spans="1:30" x14ac:dyDescent="0.35">
      <c r="A37" s="4">
        <f>IF(ATP_fill!C40=0,"",ATP_fill!C40)</f>
        <v>46272</v>
      </c>
      <c r="B37" t="str">
        <f>ATP_fill!I40</f>
        <v>Peak</v>
      </c>
      <c r="C37" t="str">
        <f>ATP_fill!E40</f>
        <v>-</v>
      </c>
      <c r="D37" t="str">
        <f>ATP_fill!F40</f>
        <v>-</v>
      </c>
      <c r="E37" s="2" t="str">
        <f>ATP_fill!G40</f>
        <v>-</v>
      </c>
      <c r="F37" s="11">
        <f>ATP_fill!AZ40</f>
        <v>0</v>
      </c>
      <c r="G37">
        <f>ATP_fill!AR40</f>
        <v>0</v>
      </c>
      <c r="H37">
        <f>ATP_fill!AS40</f>
        <v>0</v>
      </c>
      <c r="I37">
        <f>ATP_fill!AT40</f>
        <v>0</v>
      </c>
      <c r="J37">
        <f>ATP_fill!AU40</f>
        <v>0</v>
      </c>
      <c r="K37">
        <f>ATP_fill!AV40</f>
        <v>0</v>
      </c>
      <c r="L37">
        <f>ATP_fill!AW40</f>
        <v>0</v>
      </c>
      <c r="M37">
        <f>ATP_fill!AX40</f>
        <v>0</v>
      </c>
      <c r="N37" s="195">
        <f ca="1">ATP_fill!T40</f>
        <v>0</v>
      </c>
      <c r="O37" s="195">
        <f ca="1">ATP_fill!W40</f>
        <v>0</v>
      </c>
      <c r="P37" s="195">
        <f ca="1">ATP_fill!Z40</f>
        <v>0</v>
      </c>
      <c r="Q37" s="195">
        <f ca="1">ATP_fill!AC40</f>
        <v>150</v>
      </c>
      <c r="R37" s="195">
        <f ca="1">ATP_fill!AF40</f>
        <v>0</v>
      </c>
      <c r="S37" s="195">
        <f ca="1">ATP_fill!AI40</f>
        <v>0</v>
      </c>
      <c r="T37" s="195">
        <f ca="1">ATP_fill!AL40</f>
        <v>0</v>
      </c>
      <c r="U37" s="195">
        <f ca="1">ATP_fill!AO40</f>
        <v>0</v>
      </c>
      <c r="V37" s="195">
        <f t="shared" ca="1" si="0"/>
        <v>150</v>
      </c>
      <c r="W37" s="196">
        <f>ATP_fill!BB40</f>
        <v>0</v>
      </c>
      <c r="X37" s="196">
        <f>ATP_fill!BC40</f>
        <v>0</v>
      </c>
      <c r="Y37" s="196">
        <f>ATP_fill!BD40</f>
        <v>0</v>
      </c>
      <c r="Z37" s="196">
        <f>ATP_fill!BE40</f>
        <v>0</v>
      </c>
      <c r="AA37" s="196">
        <f>ATP_fill!BF40</f>
        <v>0</v>
      </c>
      <c r="AB37" s="196">
        <f>ATP_fill!BG40</f>
        <v>0</v>
      </c>
      <c r="AC37" s="196">
        <f>ATP_fill!BH40</f>
        <v>0</v>
      </c>
      <c r="AD37" s="196">
        <f>ATP_fill!BI40</f>
        <v>0</v>
      </c>
    </row>
    <row r="38" spans="1:30" x14ac:dyDescent="0.35">
      <c r="A38" s="4">
        <f>IF(ATP_fill!C41=0,"",ATP_fill!C41)</f>
        <v>46279</v>
      </c>
      <c r="B38" t="str">
        <f>ATP_fill!I41</f>
        <v>Race</v>
      </c>
      <c r="C38" t="str">
        <f>ATP_fill!E41</f>
        <v>Heuvelrug Triathlon</v>
      </c>
      <c r="D38" t="str">
        <f>ATP_fill!F41</f>
        <v>A</v>
      </c>
      <c r="E38" s="2">
        <f>ATP_fill!G41</f>
        <v>46284</v>
      </c>
      <c r="F38" s="11">
        <f>ATP_fill!AZ41</f>
        <v>0</v>
      </c>
      <c r="G38">
        <f>ATP_fill!AR41</f>
        <v>0</v>
      </c>
      <c r="H38">
        <f>ATP_fill!AS41</f>
        <v>0</v>
      </c>
      <c r="I38">
        <f>ATP_fill!AT41</f>
        <v>0</v>
      </c>
      <c r="J38">
        <f>ATP_fill!AU41</f>
        <v>0</v>
      </c>
      <c r="K38">
        <f>ATP_fill!AV41</f>
        <v>0</v>
      </c>
      <c r="L38">
        <f>ATP_fill!AW41</f>
        <v>0</v>
      </c>
      <c r="M38">
        <f>ATP_fill!AX41</f>
        <v>0</v>
      </c>
      <c r="N38" s="195">
        <f ca="1">ATP_fill!T41</f>
        <v>0</v>
      </c>
      <c r="O38" s="195">
        <f ca="1">ATP_fill!W41</f>
        <v>0</v>
      </c>
      <c r="P38" s="195">
        <f ca="1">ATP_fill!Z41</f>
        <v>0</v>
      </c>
      <c r="Q38" s="195">
        <f ca="1">ATP_fill!AC41</f>
        <v>0</v>
      </c>
      <c r="R38" s="195">
        <f ca="1">ATP_fill!AF41</f>
        <v>0</v>
      </c>
      <c r="S38" s="195">
        <f ca="1">ATP_fill!AI41</f>
        <v>0</v>
      </c>
      <c r="T38" s="195">
        <f ca="1">ATP_fill!AL41</f>
        <v>0</v>
      </c>
      <c r="U38" s="195">
        <f ca="1">ATP_fill!AO41</f>
        <v>0</v>
      </c>
      <c r="V38" s="195">
        <f t="shared" ca="1" si="0"/>
        <v>0</v>
      </c>
      <c r="W38" s="196">
        <f>ATP_fill!BB41</f>
        <v>0</v>
      </c>
      <c r="X38" s="196">
        <f>ATP_fill!BC41</f>
        <v>0</v>
      </c>
      <c r="Y38" s="196">
        <f>ATP_fill!BD41</f>
        <v>0</v>
      </c>
      <c r="Z38" s="196">
        <f>ATP_fill!BE41</f>
        <v>0</v>
      </c>
      <c r="AA38" s="196">
        <f>ATP_fill!BF41</f>
        <v>0</v>
      </c>
      <c r="AB38" s="196">
        <f>ATP_fill!BG41</f>
        <v>0</v>
      </c>
      <c r="AC38" s="196">
        <f>ATP_fill!BH41</f>
        <v>0</v>
      </c>
      <c r="AD38" s="196">
        <f>ATP_fill!BI41</f>
        <v>0</v>
      </c>
    </row>
    <row r="39" spans="1:30" x14ac:dyDescent="0.35">
      <c r="A39" s="4">
        <f>IF(ATP_fill!C42=0,"",ATP_fill!C42)</f>
        <v>46286</v>
      </c>
      <c r="B39" t="str">
        <f>ATP_fill!I42</f>
        <v>Trans</v>
      </c>
      <c r="C39" t="str">
        <f>ATP_fill!E42</f>
        <v>-</v>
      </c>
      <c r="D39" t="str">
        <f>ATP_fill!F42</f>
        <v>-</v>
      </c>
      <c r="E39" s="2" t="str">
        <f>ATP_fill!G42</f>
        <v>-</v>
      </c>
      <c r="F39" s="11">
        <f>ATP_fill!AZ42</f>
        <v>0</v>
      </c>
      <c r="G39">
        <f>ATP_fill!AR42</f>
        <v>0</v>
      </c>
      <c r="H39">
        <f>ATP_fill!AS42</f>
        <v>0</v>
      </c>
      <c r="I39">
        <f>ATP_fill!AT42</f>
        <v>0</v>
      </c>
      <c r="J39">
        <f>ATP_fill!AU42</f>
        <v>0</v>
      </c>
      <c r="K39">
        <f>ATP_fill!AV42</f>
        <v>0</v>
      </c>
      <c r="L39">
        <f>ATP_fill!AW42</f>
        <v>0</v>
      </c>
      <c r="M39">
        <f>ATP_fill!AX42</f>
        <v>0</v>
      </c>
      <c r="N39" s="195">
        <f ca="1">ATP_fill!T42</f>
        <v>0</v>
      </c>
      <c r="O39" s="195">
        <f ca="1">ATP_fill!W42</f>
        <v>0</v>
      </c>
      <c r="P39" s="195">
        <f ca="1">ATP_fill!Z42</f>
        <v>0</v>
      </c>
      <c r="Q39" s="195">
        <f ca="1">ATP_fill!AC42</f>
        <v>0</v>
      </c>
      <c r="R39" s="195">
        <f ca="1">ATP_fill!AF42</f>
        <v>0</v>
      </c>
      <c r="S39" s="195">
        <f ca="1">ATP_fill!AI42</f>
        <v>0</v>
      </c>
      <c r="T39" s="195">
        <f ca="1">ATP_fill!AL42</f>
        <v>0</v>
      </c>
      <c r="U39" s="195">
        <f ca="1">ATP_fill!AO42</f>
        <v>0</v>
      </c>
      <c r="V39" s="195">
        <f t="shared" ca="1" si="0"/>
        <v>0</v>
      </c>
      <c r="W39" s="196">
        <f>ATP_fill!BB42</f>
        <v>0</v>
      </c>
      <c r="X39" s="196">
        <f>ATP_fill!BC42</f>
        <v>0</v>
      </c>
      <c r="Y39" s="196">
        <f>ATP_fill!BD42</f>
        <v>0</v>
      </c>
      <c r="Z39" s="196">
        <f>ATP_fill!BE42</f>
        <v>0</v>
      </c>
      <c r="AA39" s="196">
        <f>ATP_fill!BF42</f>
        <v>0</v>
      </c>
      <c r="AB39" s="196">
        <f>ATP_fill!BG42</f>
        <v>0</v>
      </c>
      <c r="AC39" s="196">
        <f>ATP_fill!BH42</f>
        <v>0</v>
      </c>
      <c r="AD39" s="196">
        <f>ATP_fill!BI42</f>
        <v>0</v>
      </c>
    </row>
    <row r="40" spans="1:30" x14ac:dyDescent="0.35">
      <c r="A40" s="4">
        <f>IF(ATP_fill!C43=0,"",ATP_fill!C43)</f>
        <v>46293</v>
      </c>
      <c r="B40" t="str">
        <f>ATP_fill!I43</f>
        <v>Trans</v>
      </c>
      <c r="C40" t="str">
        <f>ATP_fill!E43</f>
        <v>-</v>
      </c>
      <c r="D40" t="str">
        <f>ATP_fill!F43</f>
        <v>-</v>
      </c>
      <c r="E40" s="2" t="str">
        <f>ATP_fill!G43</f>
        <v>-</v>
      </c>
      <c r="F40" s="11">
        <f>ATP_fill!AZ43</f>
        <v>0</v>
      </c>
      <c r="G40">
        <f>ATP_fill!AR43</f>
        <v>0</v>
      </c>
      <c r="H40">
        <f>ATP_fill!AS43</f>
        <v>0</v>
      </c>
      <c r="I40">
        <f>ATP_fill!AT43</f>
        <v>0</v>
      </c>
      <c r="J40">
        <f>ATP_fill!AU43</f>
        <v>0</v>
      </c>
      <c r="K40">
        <f>ATP_fill!AV43</f>
        <v>0</v>
      </c>
      <c r="L40">
        <f>ATP_fill!AW43</f>
        <v>0</v>
      </c>
      <c r="M40">
        <f>ATP_fill!AX43</f>
        <v>0</v>
      </c>
      <c r="N40" s="195">
        <f ca="1">ATP_fill!T43</f>
        <v>0</v>
      </c>
      <c r="O40" s="195">
        <f ca="1">ATP_fill!W43</f>
        <v>0</v>
      </c>
      <c r="P40" s="195">
        <f ca="1">ATP_fill!Z43</f>
        <v>0</v>
      </c>
      <c r="Q40" s="195">
        <f ca="1">ATP_fill!AC43</f>
        <v>0</v>
      </c>
      <c r="R40" s="195">
        <f ca="1">ATP_fill!AF43</f>
        <v>0</v>
      </c>
      <c r="S40" s="195">
        <f ca="1">ATP_fill!AI43</f>
        <v>0</v>
      </c>
      <c r="T40" s="195">
        <f ca="1">ATP_fill!AL43</f>
        <v>0</v>
      </c>
      <c r="U40" s="195">
        <f ca="1">ATP_fill!AO43</f>
        <v>0</v>
      </c>
      <c r="V40" s="195">
        <f t="shared" ca="1" si="0"/>
        <v>0</v>
      </c>
      <c r="W40" s="196">
        <f>ATP_fill!BB43</f>
        <v>0</v>
      </c>
      <c r="X40" s="196">
        <f>ATP_fill!BC43</f>
        <v>0</v>
      </c>
      <c r="Y40" s="196">
        <f>ATP_fill!BD43</f>
        <v>0</v>
      </c>
      <c r="Z40" s="196">
        <f>ATP_fill!BE43</f>
        <v>0</v>
      </c>
      <c r="AA40" s="196">
        <f>ATP_fill!BF43</f>
        <v>0</v>
      </c>
      <c r="AB40" s="196">
        <f>ATP_fill!BG43</f>
        <v>0</v>
      </c>
      <c r="AC40" s="196">
        <f>ATP_fill!BH43</f>
        <v>0</v>
      </c>
      <c r="AD40" s="196">
        <f>ATP_fill!BI43</f>
        <v>0</v>
      </c>
    </row>
    <row r="41" spans="1:30" x14ac:dyDescent="0.35">
      <c r="A41" s="4">
        <f>IF(ATP_fill!C44=0,"",ATP_fill!C44)</f>
        <v>46300</v>
      </c>
      <c r="B41" t="str">
        <f>ATP_fill!I44</f>
        <v>Trans</v>
      </c>
      <c r="C41" t="str">
        <f>ATP_fill!E44</f>
        <v>-</v>
      </c>
      <c r="D41" t="str">
        <f>ATP_fill!F44</f>
        <v>-</v>
      </c>
      <c r="E41" s="2" t="str">
        <f>ATP_fill!G44</f>
        <v>-</v>
      </c>
      <c r="F41" s="11">
        <f>ATP_fill!AZ44</f>
        <v>0</v>
      </c>
      <c r="G41">
        <f>ATP_fill!AR44</f>
        <v>0</v>
      </c>
      <c r="H41">
        <f>ATP_fill!AS44</f>
        <v>0</v>
      </c>
      <c r="I41">
        <f>ATP_fill!AT44</f>
        <v>0</v>
      </c>
      <c r="J41">
        <f>ATP_fill!AU44</f>
        <v>0</v>
      </c>
      <c r="K41">
        <f>ATP_fill!AV44</f>
        <v>0</v>
      </c>
      <c r="L41">
        <f>ATP_fill!AW44</f>
        <v>0</v>
      </c>
      <c r="M41">
        <f>ATP_fill!AX44</f>
        <v>0</v>
      </c>
      <c r="N41" s="195">
        <f ca="1">ATP_fill!T44</f>
        <v>0</v>
      </c>
      <c r="O41" s="195">
        <f ca="1">ATP_fill!W44</f>
        <v>0</v>
      </c>
      <c r="P41" s="195">
        <f ca="1">ATP_fill!Z44</f>
        <v>0</v>
      </c>
      <c r="Q41" s="195">
        <f ca="1">ATP_fill!AC44</f>
        <v>0</v>
      </c>
      <c r="R41" s="195">
        <f ca="1">ATP_fill!AF44</f>
        <v>0</v>
      </c>
      <c r="S41" s="195">
        <f ca="1">ATP_fill!AI44</f>
        <v>0</v>
      </c>
      <c r="T41" s="195">
        <f ca="1">ATP_fill!AL44</f>
        <v>0</v>
      </c>
      <c r="U41" s="195">
        <f ca="1">ATP_fill!AO44</f>
        <v>0</v>
      </c>
      <c r="V41" s="195">
        <f t="shared" ca="1" si="0"/>
        <v>0</v>
      </c>
      <c r="W41" s="196">
        <f>ATP_fill!BB44</f>
        <v>0</v>
      </c>
      <c r="X41" s="196">
        <f>ATP_fill!BC44</f>
        <v>0</v>
      </c>
      <c r="Y41" s="196">
        <f>ATP_fill!BD44</f>
        <v>0</v>
      </c>
      <c r="Z41" s="196">
        <f>ATP_fill!BE44</f>
        <v>0</v>
      </c>
      <c r="AA41" s="196">
        <f>ATP_fill!BF44</f>
        <v>0</v>
      </c>
      <c r="AB41" s="196">
        <f>ATP_fill!BG44</f>
        <v>0</v>
      </c>
      <c r="AC41" s="196">
        <f>ATP_fill!BH44</f>
        <v>0</v>
      </c>
      <c r="AD41" s="196">
        <f>ATP_fill!BI44</f>
        <v>0</v>
      </c>
    </row>
    <row r="42" spans="1:30" x14ac:dyDescent="0.35">
      <c r="A42" s="4">
        <f>IF(ATP_fill!C45=0,"",ATP_fill!C45)</f>
        <v>46307</v>
      </c>
      <c r="B42" t="str">
        <f>ATP_fill!I45</f>
        <v>Trans</v>
      </c>
      <c r="C42" t="str">
        <f>ATP_fill!E45</f>
        <v>Goudasfaltloop</v>
      </c>
      <c r="D42" t="str">
        <f>ATP_fill!F45</f>
        <v>B</v>
      </c>
      <c r="E42" s="2">
        <f>ATP_fill!G45</f>
        <v>46307</v>
      </c>
      <c r="F42" s="11">
        <f>ATP_fill!AZ45</f>
        <v>0</v>
      </c>
      <c r="G42">
        <f>ATP_fill!AR45</f>
        <v>0</v>
      </c>
      <c r="H42">
        <f>ATP_fill!AS45</f>
        <v>0</v>
      </c>
      <c r="I42">
        <f>ATP_fill!AT45</f>
        <v>0</v>
      </c>
      <c r="J42">
        <f>ATP_fill!AU45</f>
        <v>0</v>
      </c>
      <c r="K42">
        <f>ATP_fill!AV45</f>
        <v>0</v>
      </c>
      <c r="L42">
        <f>ATP_fill!AW45</f>
        <v>0</v>
      </c>
      <c r="M42">
        <f>ATP_fill!AX45</f>
        <v>0</v>
      </c>
      <c r="N42" s="195">
        <f ca="1">ATP_fill!T45</f>
        <v>0</v>
      </c>
      <c r="O42" s="195">
        <f ca="1">ATP_fill!W45</f>
        <v>0</v>
      </c>
      <c r="P42" s="195">
        <f ca="1">ATP_fill!Z45</f>
        <v>0</v>
      </c>
      <c r="Q42" s="195">
        <f ca="1">ATP_fill!AC45</f>
        <v>0</v>
      </c>
      <c r="R42" s="195">
        <f ca="1">ATP_fill!AF45</f>
        <v>0</v>
      </c>
      <c r="S42" s="195">
        <f ca="1">ATP_fill!AI45</f>
        <v>0</v>
      </c>
      <c r="T42" s="195">
        <f ca="1">ATP_fill!AL45</f>
        <v>0</v>
      </c>
      <c r="U42" s="195">
        <f ca="1">ATP_fill!AO45</f>
        <v>0</v>
      </c>
      <c r="V42" s="195">
        <f t="shared" ca="1" si="0"/>
        <v>0</v>
      </c>
      <c r="W42" s="196">
        <f>ATP_fill!BB45</f>
        <v>0</v>
      </c>
      <c r="X42" s="196">
        <f>ATP_fill!BC45</f>
        <v>0</v>
      </c>
      <c r="Y42" s="196">
        <f>ATP_fill!BD45</f>
        <v>0</v>
      </c>
      <c r="Z42" s="196">
        <f>ATP_fill!BE45</f>
        <v>0</v>
      </c>
      <c r="AA42" s="196">
        <f>ATP_fill!BF45</f>
        <v>0</v>
      </c>
      <c r="AB42" s="196">
        <f>ATP_fill!BG45</f>
        <v>0</v>
      </c>
      <c r="AC42" s="196">
        <f>ATP_fill!BH45</f>
        <v>0</v>
      </c>
      <c r="AD42" s="196">
        <f>ATP_fill!BI45</f>
        <v>0</v>
      </c>
    </row>
    <row r="43" spans="1:30" x14ac:dyDescent="0.35">
      <c r="A43" s="4">
        <f>IF(ATP_fill!C46=0,"",ATP_fill!C46)</f>
        <v>46314</v>
      </c>
      <c r="B43" t="str">
        <f>ATP_fill!I46</f>
        <v>Trans</v>
      </c>
      <c r="C43" t="str">
        <f>ATP_fill!E46</f>
        <v>-</v>
      </c>
      <c r="D43" t="str">
        <f>ATP_fill!F46</f>
        <v>-</v>
      </c>
      <c r="E43" s="2" t="str">
        <f>ATP_fill!G46</f>
        <v>-</v>
      </c>
      <c r="F43" s="11">
        <f>ATP_fill!AZ46</f>
        <v>0</v>
      </c>
      <c r="G43">
        <f>ATP_fill!AR46</f>
        <v>0</v>
      </c>
      <c r="H43">
        <f>ATP_fill!AS46</f>
        <v>0</v>
      </c>
      <c r="I43">
        <f>ATP_fill!AT46</f>
        <v>0</v>
      </c>
      <c r="J43">
        <f>ATP_fill!AU46</f>
        <v>0</v>
      </c>
      <c r="K43">
        <f>ATP_fill!AV46</f>
        <v>0</v>
      </c>
      <c r="L43">
        <f>ATP_fill!AW46</f>
        <v>0</v>
      </c>
      <c r="M43">
        <f>ATP_fill!AX46</f>
        <v>0</v>
      </c>
      <c r="N43" s="195">
        <f ca="1">ATP_fill!T46</f>
        <v>0</v>
      </c>
      <c r="O43" s="195">
        <f ca="1">ATP_fill!W46</f>
        <v>0</v>
      </c>
      <c r="P43" s="195">
        <f ca="1">ATP_fill!Z46</f>
        <v>0</v>
      </c>
      <c r="Q43" s="195">
        <f ca="1">ATP_fill!AC46</f>
        <v>0</v>
      </c>
      <c r="R43" s="195">
        <f ca="1">ATP_fill!AF46</f>
        <v>0</v>
      </c>
      <c r="S43" s="195">
        <f ca="1">ATP_fill!AI46</f>
        <v>0</v>
      </c>
      <c r="T43" s="195">
        <f ca="1">ATP_fill!AL46</f>
        <v>0</v>
      </c>
      <c r="U43" s="195">
        <f ca="1">ATP_fill!AO46</f>
        <v>0</v>
      </c>
      <c r="V43" s="195">
        <f t="shared" ca="1" si="0"/>
        <v>0</v>
      </c>
      <c r="W43" s="196">
        <f>ATP_fill!BB46</f>
        <v>0</v>
      </c>
      <c r="X43" s="196">
        <f>ATP_fill!BC46</f>
        <v>0</v>
      </c>
      <c r="Y43" s="196">
        <f>ATP_fill!BD46</f>
        <v>0</v>
      </c>
      <c r="Z43" s="196">
        <f>ATP_fill!BE46</f>
        <v>0</v>
      </c>
      <c r="AA43" s="196">
        <f>ATP_fill!BF46</f>
        <v>0</v>
      </c>
      <c r="AB43" s="196">
        <f>ATP_fill!BG46</f>
        <v>0</v>
      </c>
      <c r="AC43" s="196">
        <f>ATP_fill!BH46</f>
        <v>0</v>
      </c>
      <c r="AD43" s="196">
        <f>ATP_fill!BI46</f>
        <v>0</v>
      </c>
    </row>
    <row r="44" spans="1:30" x14ac:dyDescent="0.35">
      <c r="A44" s="4">
        <f>IF(ATP_fill!C47=0,"",ATP_fill!C47)</f>
        <v>46321</v>
      </c>
      <c r="B44" t="str">
        <f>ATP_fill!I47</f>
        <v>Trans</v>
      </c>
      <c r="C44" t="str">
        <f>ATP_fill!E47</f>
        <v>-</v>
      </c>
      <c r="D44" t="str">
        <f>ATP_fill!F47</f>
        <v>-</v>
      </c>
      <c r="E44" s="2" t="str">
        <f>ATP_fill!G47</f>
        <v>-</v>
      </c>
      <c r="F44" s="11">
        <f>ATP_fill!AZ47</f>
        <v>0</v>
      </c>
      <c r="G44">
        <f>ATP_fill!AR47</f>
        <v>0</v>
      </c>
      <c r="H44">
        <f>ATP_fill!AS47</f>
        <v>0</v>
      </c>
      <c r="I44">
        <f>ATP_fill!AT47</f>
        <v>0</v>
      </c>
      <c r="J44">
        <f>ATP_fill!AU47</f>
        <v>0</v>
      </c>
      <c r="K44">
        <f>ATP_fill!AV47</f>
        <v>0</v>
      </c>
      <c r="L44">
        <f>ATP_fill!AW47</f>
        <v>0</v>
      </c>
      <c r="M44">
        <f>ATP_fill!AX47</f>
        <v>0</v>
      </c>
      <c r="N44" s="195">
        <f ca="1">ATP_fill!T47</f>
        <v>0</v>
      </c>
      <c r="O44" s="195">
        <f ca="1">ATP_fill!W47</f>
        <v>0</v>
      </c>
      <c r="P44" s="195">
        <f ca="1">ATP_fill!Z47</f>
        <v>0</v>
      </c>
      <c r="Q44" s="195">
        <f ca="1">ATP_fill!AC47</f>
        <v>0</v>
      </c>
      <c r="R44" s="195">
        <f ca="1">ATP_fill!AF47</f>
        <v>0</v>
      </c>
      <c r="S44" s="195">
        <f ca="1">ATP_fill!AI47</f>
        <v>0</v>
      </c>
      <c r="T44" s="195">
        <f ca="1">ATP_fill!AL47</f>
        <v>0</v>
      </c>
      <c r="U44" s="195">
        <f ca="1">ATP_fill!AO47</f>
        <v>0</v>
      </c>
      <c r="V44" s="195">
        <f t="shared" ca="1" si="0"/>
        <v>0</v>
      </c>
      <c r="W44" s="196">
        <f>ATP_fill!BB47</f>
        <v>0</v>
      </c>
      <c r="X44" s="196">
        <f>ATP_fill!BC47</f>
        <v>0</v>
      </c>
      <c r="Y44" s="196">
        <f>ATP_fill!BD47</f>
        <v>0</v>
      </c>
      <c r="Z44" s="196">
        <f>ATP_fill!BE47</f>
        <v>0</v>
      </c>
      <c r="AA44" s="196">
        <f>ATP_fill!BF47</f>
        <v>0</v>
      </c>
      <c r="AB44" s="196">
        <f>ATP_fill!BG47</f>
        <v>0</v>
      </c>
      <c r="AC44" s="196">
        <f>ATP_fill!BH47</f>
        <v>0</v>
      </c>
      <c r="AD44" s="196">
        <f>ATP_fill!BI47</f>
        <v>0</v>
      </c>
    </row>
    <row r="45" spans="1:30" x14ac:dyDescent="0.35">
      <c r="A45" s="4">
        <f>IF(ATP_fill!C48=0,"",ATP_fill!C48)</f>
        <v>46328</v>
      </c>
      <c r="B45" t="str">
        <f>ATP_fill!I48</f>
        <v>Trans</v>
      </c>
      <c r="C45" t="str">
        <f>ATP_fill!E48</f>
        <v>-</v>
      </c>
      <c r="D45" t="str">
        <f>ATP_fill!F48</f>
        <v>-</v>
      </c>
      <c r="E45" s="2" t="str">
        <f>ATP_fill!G48</f>
        <v>-</v>
      </c>
      <c r="F45" s="11">
        <f>ATP_fill!AZ48</f>
        <v>0</v>
      </c>
      <c r="G45">
        <f>ATP_fill!AR48</f>
        <v>0</v>
      </c>
      <c r="H45">
        <f>ATP_fill!AS48</f>
        <v>0</v>
      </c>
      <c r="I45">
        <f>ATP_fill!AT48</f>
        <v>0</v>
      </c>
      <c r="J45">
        <f>ATP_fill!AU48</f>
        <v>0</v>
      </c>
      <c r="K45">
        <f>ATP_fill!AV48</f>
        <v>0</v>
      </c>
      <c r="L45">
        <f>ATP_fill!AW48</f>
        <v>0</v>
      </c>
      <c r="M45">
        <f>ATP_fill!AX48</f>
        <v>0</v>
      </c>
      <c r="N45" s="195">
        <f ca="1">ATP_fill!T48</f>
        <v>0</v>
      </c>
      <c r="O45" s="195">
        <f ca="1">ATP_fill!W48</f>
        <v>0</v>
      </c>
      <c r="P45" s="195">
        <f ca="1">ATP_fill!Z48</f>
        <v>0</v>
      </c>
      <c r="Q45" s="195">
        <f ca="1">ATP_fill!AC48</f>
        <v>0</v>
      </c>
      <c r="R45" s="195">
        <f ca="1">ATP_fill!AF48</f>
        <v>0</v>
      </c>
      <c r="S45" s="195">
        <f ca="1">ATP_fill!AI48</f>
        <v>0</v>
      </c>
      <c r="T45" s="195">
        <f ca="1">ATP_fill!AL48</f>
        <v>0</v>
      </c>
      <c r="U45" s="195">
        <f ca="1">ATP_fill!AO48</f>
        <v>0</v>
      </c>
      <c r="V45" s="195">
        <f t="shared" ca="1" si="0"/>
        <v>0</v>
      </c>
      <c r="W45" s="196">
        <f>ATP_fill!BB48</f>
        <v>0</v>
      </c>
      <c r="X45" s="196">
        <f>ATP_fill!BC48</f>
        <v>0</v>
      </c>
      <c r="Y45" s="196">
        <f>ATP_fill!BD48</f>
        <v>0</v>
      </c>
      <c r="Z45" s="196">
        <f>ATP_fill!BE48</f>
        <v>0</v>
      </c>
      <c r="AA45" s="196">
        <f>ATP_fill!BF48</f>
        <v>0</v>
      </c>
      <c r="AB45" s="196">
        <f>ATP_fill!BG48</f>
        <v>0</v>
      </c>
      <c r="AC45" s="196">
        <f>ATP_fill!BH48</f>
        <v>0</v>
      </c>
      <c r="AD45" s="196">
        <f>ATP_fill!BI48</f>
        <v>0</v>
      </c>
    </row>
    <row r="46" spans="1:30" x14ac:dyDescent="0.35">
      <c r="A46" s="4">
        <f>IF(ATP_fill!C49=0,"",ATP_fill!C49)</f>
        <v>46335</v>
      </c>
      <c r="B46" t="str">
        <f>ATP_fill!I49</f>
        <v>Trans</v>
      </c>
      <c r="C46" t="str">
        <f>ATP_fill!E49</f>
        <v>-</v>
      </c>
      <c r="D46" t="str">
        <f>ATP_fill!F49</f>
        <v>-</v>
      </c>
      <c r="E46" s="2" t="str">
        <f>ATP_fill!G49</f>
        <v>-</v>
      </c>
      <c r="F46" s="11">
        <f>ATP_fill!AZ49</f>
        <v>0</v>
      </c>
      <c r="G46">
        <f>ATP_fill!AR49</f>
        <v>0</v>
      </c>
      <c r="H46">
        <f>ATP_fill!AS49</f>
        <v>0</v>
      </c>
      <c r="I46">
        <f>ATP_fill!AT49</f>
        <v>0</v>
      </c>
      <c r="J46">
        <f>ATP_fill!AU49</f>
        <v>0</v>
      </c>
      <c r="K46">
        <f>ATP_fill!AV49</f>
        <v>0</v>
      </c>
      <c r="L46">
        <f>ATP_fill!AW49</f>
        <v>0</v>
      </c>
      <c r="M46">
        <f>ATP_fill!AX49</f>
        <v>0</v>
      </c>
      <c r="N46" s="195">
        <f ca="1">ATP_fill!T49</f>
        <v>0</v>
      </c>
      <c r="O46" s="195">
        <f ca="1">ATP_fill!W49</f>
        <v>0</v>
      </c>
      <c r="P46" s="195">
        <f ca="1">ATP_fill!Z49</f>
        <v>0</v>
      </c>
      <c r="Q46" s="195">
        <f ca="1">ATP_fill!AC49</f>
        <v>0</v>
      </c>
      <c r="R46" s="195">
        <f ca="1">ATP_fill!AF49</f>
        <v>0</v>
      </c>
      <c r="S46" s="195">
        <f ca="1">ATP_fill!AI49</f>
        <v>0</v>
      </c>
      <c r="T46" s="195">
        <f ca="1">ATP_fill!AL49</f>
        <v>0</v>
      </c>
      <c r="U46" s="195">
        <f ca="1">ATP_fill!AO49</f>
        <v>0</v>
      </c>
      <c r="V46" s="195">
        <f t="shared" ca="1" si="0"/>
        <v>0</v>
      </c>
      <c r="W46" s="196">
        <f>ATP_fill!BB49</f>
        <v>0</v>
      </c>
      <c r="X46" s="196">
        <f>ATP_fill!BC49</f>
        <v>0</v>
      </c>
      <c r="Y46" s="196">
        <f>ATP_fill!BD49</f>
        <v>0</v>
      </c>
      <c r="Z46" s="196">
        <f>ATP_fill!BE49</f>
        <v>0</v>
      </c>
      <c r="AA46" s="196">
        <f>ATP_fill!BF49</f>
        <v>0</v>
      </c>
      <c r="AB46" s="196">
        <f>ATP_fill!BG49</f>
        <v>0</v>
      </c>
      <c r="AC46" s="196">
        <f>ATP_fill!BH49</f>
        <v>0</v>
      </c>
      <c r="AD46" s="196">
        <f>ATP_fill!BI49</f>
        <v>0</v>
      </c>
    </row>
    <row r="47" spans="1:30" x14ac:dyDescent="0.35">
      <c r="A47" s="4">
        <f>IF(ATP_fill!C50=0,"",ATP_fill!C50)</f>
        <v>46342</v>
      </c>
      <c r="B47" t="str">
        <f>ATP_fill!I50</f>
        <v>Trans</v>
      </c>
      <c r="C47" t="str">
        <f>ATP_fill!E50</f>
        <v>-</v>
      </c>
      <c r="D47" t="str">
        <f>ATP_fill!F50</f>
        <v>-</v>
      </c>
      <c r="E47" s="2" t="str">
        <f>ATP_fill!G50</f>
        <v>-</v>
      </c>
      <c r="F47" s="11">
        <f>ATP_fill!AZ50</f>
        <v>0</v>
      </c>
      <c r="G47">
        <f>ATP_fill!AR50</f>
        <v>0</v>
      </c>
      <c r="H47">
        <f>ATP_fill!AS50</f>
        <v>0</v>
      </c>
      <c r="I47">
        <f>ATP_fill!AT50</f>
        <v>0</v>
      </c>
      <c r="J47">
        <f>ATP_fill!AU50</f>
        <v>0</v>
      </c>
      <c r="K47">
        <f>ATP_fill!AV50</f>
        <v>0</v>
      </c>
      <c r="L47">
        <f>ATP_fill!AW50</f>
        <v>0</v>
      </c>
      <c r="M47">
        <f>ATP_fill!AX50</f>
        <v>0</v>
      </c>
      <c r="N47" s="195">
        <f ca="1">ATP_fill!T50</f>
        <v>0</v>
      </c>
      <c r="O47" s="195">
        <f ca="1">ATP_fill!W50</f>
        <v>0</v>
      </c>
      <c r="P47" s="195">
        <f ca="1">ATP_fill!Z50</f>
        <v>0</v>
      </c>
      <c r="Q47" s="195">
        <f ca="1">ATP_fill!AC50</f>
        <v>0</v>
      </c>
      <c r="R47" s="195">
        <f ca="1">ATP_fill!AF50</f>
        <v>0</v>
      </c>
      <c r="S47" s="195">
        <f ca="1">ATP_fill!AI50</f>
        <v>0</v>
      </c>
      <c r="T47" s="195">
        <f ca="1">ATP_fill!AL50</f>
        <v>0</v>
      </c>
      <c r="U47" s="195">
        <f ca="1">ATP_fill!AO50</f>
        <v>0</v>
      </c>
      <c r="V47" s="195">
        <f t="shared" ca="1" si="0"/>
        <v>0</v>
      </c>
      <c r="W47" s="196">
        <f>ATP_fill!BB50</f>
        <v>0</v>
      </c>
      <c r="X47" s="196">
        <f>ATP_fill!BC50</f>
        <v>0</v>
      </c>
      <c r="Y47" s="196">
        <f>ATP_fill!BD50</f>
        <v>0</v>
      </c>
      <c r="Z47" s="196">
        <f>ATP_fill!BE50</f>
        <v>0</v>
      </c>
      <c r="AA47" s="196">
        <f>ATP_fill!BF50</f>
        <v>0</v>
      </c>
      <c r="AB47" s="196">
        <f>ATP_fill!BG50</f>
        <v>0</v>
      </c>
      <c r="AC47" s="196">
        <f>ATP_fill!BH50</f>
        <v>0</v>
      </c>
      <c r="AD47" s="196">
        <f>ATP_fill!BI50</f>
        <v>0</v>
      </c>
    </row>
    <row r="48" spans="1:30" x14ac:dyDescent="0.35">
      <c r="A48" s="4">
        <f>IF(ATP_fill!C51=0,"",ATP_fill!C51)</f>
        <v>46349</v>
      </c>
      <c r="B48" t="str">
        <f>ATP_fill!I51</f>
        <v>Trans</v>
      </c>
      <c r="C48" t="str">
        <f>ATP_fill!E51</f>
        <v>-</v>
      </c>
      <c r="D48" t="str">
        <f>ATP_fill!F51</f>
        <v>-</v>
      </c>
      <c r="E48" s="2" t="str">
        <f>ATP_fill!G51</f>
        <v>-</v>
      </c>
      <c r="F48" s="11">
        <f>ATP_fill!AZ51</f>
        <v>0</v>
      </c>
      <c r="G48">
        <f>ATP_fill!AR51</f>
        <v>0</v>
      </c>
      <c r="H48">
        <f>ATP_fill!AS51</f>
        <v>0</v>
      </c>
      <c r="I48">
        <f>ATP_fill!AT51</f>
        <v>0</v>
      </c>
      <c r="J48">
        <f>ATP_fill!AU51</f>
        <v>0</v>
      </c>
      <c r="K48">
        <f>ATP_fill!AV51</f>
        <v>0</v>
      </c>
      <c r="L48">
        <f>ATP_fill!AW51</f>
        <v>0</v>
      </c>
      <c r="M48">
        <f>ATP_fill!AX51</f>
        <v>0</v>
      </c>
      <c r="N48" s="195">
        <f ca="1">ATP_fill!T51</f>
        <v>0</v>
      </c>
      <c r="O48" s="195">
        <f ca="1">ATP_fill!W51</f>
        <v>0</v>
      </c>
      <c r="P48" s="195">
        <f ca="1">ATP_fill!Z51</f>
        <v>0</v>
      </c>
      <c r="Q48" s="195">
        <f ca="1">ATP_fill!AC51</f>
        <v>0</v>
      </c>
      <c r="R48" s="195">
        <f ca="1">ATP_fill!AF51</f>
        <v>0</v>
      </c>
      <c r="S48" s="195">
        <f ca="1">ATP_fill!AI51</f>
        <v>0</v>
      </c>
      <c r="T48" s="195">
        <f ca="1">ATP_fill!AL51</f>
        <v>0</v>
      </c>
      <c r="U48" s="195">
        <f ca="1">ATP_fill!AO51</f>
        <v>0</v>
      </c>
      <c r="V48" s="195">
        <f t="shared" ca="1" si="0"/>
        <v>0</v>
      </c>
      <c r="W48" s="196">
        <f>ATP_fill!BB51</f>
        <v>0</v>
      </c>
      <c r="X48" s="196">
        <f>ATP_fill!BC51</f>
        <v>0</v>
      </c>
      <c r="Y48" s="196">
        <f>ATP_fill!BD51</f>
        <v>0</v>
      </c>
      <c r="Z48" s="196">
        <f>ATP_fill!BE51</f>
        <v>0</v>
      </c>
      <c r="AA48" s="196">
        <f>ATP_fill!BF51</f>
        <v>0</v>
      </c>
      <c r="AB48" s="196">
        <f>ATP_fill!BG51</f>
        <v>0</v>
      </c>
      <c r="AC48" s="196">
        <f>ATP_fill!BH51</f>
        <v>0</v>
      </c>
      <c r="AD48" s="196">
        <f>ATP_fill!BI51</f>
        <v>0</v>
      </c>
    </row>
    <row r="49" spans="1:30" x14ac:dyDescent="0.35">
      <c r="A49" s="4">
        <f>IF(ATP_fill!C52=0,"",ATP_fill!C52)</f>
        <v>46356</v>
      </c>
      <c r="B49" t="str">
        <f>ATP_fill!I52</f>
        <v>Trans</v>
      </c>
      <c r="C49" t="str">
        <f>ATP_fill!E52</f>
        <v>-</v>
      </c>
      <c r="D49" t="str">
        <f>ATP_fill!F52</f>
        <v>-</v>
      </c>
      <c r="E49" s="2" t="str">
        <f>ATP_fill!G52</f>
        <v>-</v>
      </c>
      <c r="F49" s="11">
        <f>ATP_fill!AZ52</f>
        <v>0</v>
      </c>
      <c r="G49">
        <f>ATP_fill!AR52</f>
        <v>0</v>
      </c>
      <c r="H49">
        <f>ATP_fill!AS52</f>
        <v>0</v>
      </c>
      <c r="I49">
        <f>ATP_fill!AT52</f>
        <v>0</v>
      </c>
      <c r="J49">
        <f>ATP_fill!AU52</f>
        <v>0</v>
      </c>
      <c r="K49">
        <f>ATP_fill!AV52</f>
        <v>0</v>
      </c>
      <c r="L49">
        <f>ATP_fill!AW52</f>
        <v>0</v>
      </c>
      <c r="M49">
        <f>ATP_fill!AX52</f>
        <v>0</v>
      </c>
      <c r="N49" s="195">
        <f ca="1">ATP_fill!T52</f>
        <v>0</v>
      </c>
      <c r="O49" s="195">
        <f ca="1">ATP_fill!W52</f>
        <v>0</v>
      </c>
      <c r="P49" s="195">
        <f ca="1">ATP_fill!Z52</f>
        <v>0</v>
      </c>
      <c r="Q49" s="195">
        <f ca="1">ATP_fill!AC52</f>
        <v>0</v>
      </c>
      <c r="R49" s="195">
        <f ca="1">ATP_fill!AF52</f>
        <v>0</v>
      </c>
      <c r="S49" s="195">
        <f ca="1">ATP_fill!AI52</f>
        <v>0</v>
      </c>
      <c r="T49" s="195">
        <f ca="1">ATP_fill!AL52</f>
        <v>0</v>
      </c>
      <c r="U49" s="195">
        <f ca="1">ATP_fill!AO52</f>
        <v>0</v>
      </c>
      <c r="V49" s="195">
        <f t="shared" ca="1" si="0"/>
        <v>0</v>
      </c>
      <c r="W49" s="196">
        <f>ATP_fill!BB52</f>
        <v>0</v>
      </c>
      <c r="X49" s="196">
        <f>ATP_fill!BC52</f>
        <v>0</v>
      </c>
      <c r="Y49" s="196">
        <f>ATP_fill!BD52</f>
        <v>0</v>
      </c>
      <c r="Z49" s="196">
        <f>ATP_fill!BE52</f>
        <v>0</v>
      </c>
      <c r="AA49" s="196">
        <f>ATP_fill!BF52</f>
        <v>0</v>
      </c>
      <c r="AB49" s="196">
        <f>ATP_fill!BG52</f>
        <v>0</v>
      </c>
      <c r="AC49" s="196">
        <f>ATP_fill!BH52</f>
        <v>0</v>
      </c>
      <c r="AD49" s="196">
        <f>ATP_fill!BI52</f>
        <v>0</v>
      </c>
    </row>
    <row r="50" spans="1:30" x14ac:dyDescent="0.35">
      <c r="A50" s="4">
        <f>IF(ATP_fill!C53=0,"",ATP_fill!C53)</f>
        <v>46363</v>
      </c>
      <c r="B50" t="str">
        <f>ATP_fill!I53</f>
        <v>Trans</v>
      </c>
      <c r="C50" t="str">
        <f>ATP_fill!E53</f>
        <v>-</v>
      </c>
      <c r="D50" t="str">
        <f>ATP_fill!F53</f>
        <v>-</v>
      </c>
      <c r="E50" s="2" t="str">
        <f>ATP_fill!G53</f>
        <v>-</v>
      </c>
      <c r="F50" s="11">
        <f>ATP_fill!AZ53</f>
        <v>0</v>
      </c>
      <c r="G50">
        <f>ATP_fill!AR53</f>
        <v>0</v>
      </c>
      <c r="H50">
        <f>ATP_fill!AS53</f>
        <v>0</v>
      </c>
      <c r="I50">
        <f>ATP_fill!AT53</f>
        <v>0</v>
      </c>
      <c r="J50">
        <f>ATP_fill!AU53</f>
        <v>0</v>
      </c>
      <c r="K50">
        <f>ATP_fill!AV53</f>
        <v>0</v>
      </c>
      <c r="L50">
        <f>ATP_fill!AW53</f>
        <v>0</v>
      </c>
      <c r="M50">
        <f>ATP_fill!AX53</f>
        <v>0</v>
      </c>
      <c r="N50" s="195">
        <f ca="1">ATP_fill!T53</f>
        <v>0</v>
      </c>
      <c r="O50" s="195">
        <f ca="1">ATP_fill!W53</f>
        <v>0</v>
      </c>
      <c r="P50" s="195">
        <f ca="1">ATP_fill!Z53</f>
        <v>0</v>
      </c>
      <c r="Q50" s="195">
        <f ca="1">ATP_fill!AC53</f>
        <v>0</v>
      </c>
      <c r="R50" s="195">
        <f ca="1">ATP_fill!AF53</f>
        <v>0</v>
      </c>
      <c r="S50" s="195">
        <f ca="1">ATP_fill!AI53</f>
        <v>0</v>
      </c>
      <c r="T50" s="195">
        <f ca="1">ATP_fill!AL53</f>
        <v>0</v>
      </c>
      <c r="U50" s="195">
        <f ca="1">ATP_fill!AO53</f>
        <v>0</v>
      </c>
      <c r="V50" s="195">
        <f t="shared" ca="1" si="0"/>
        <v>0</v>
      </c>
      <c r="W50" s="196">
        <f>ATP_fill!BB53</f>
        <v>0</v>
      </c>
      <c r="X50" s="196">
        <f>ATP_fill!BC53</f>
        <v>0</v>
      </c>
      <c r="Y50" s="196">
        <f>ATP_fill!BD53</f>
        <v>0</v>
      </c>
      <c r="Z50" s="196">
        <f>ATP_fill!BE53</f>
        <v>0</v>
      </c>
      <c r="AA50" s="196">
        <f>ATP_fill!BF53</f>
        <v>0</v>
      </c>
      <c r="AB50" s="196">
        <f>ATP_fill!BG53</f>
        <v>0</v>
      </c>
      <c r="AC50" s="196">
        <f>ATP_fill!BH53</f>
        <v>0</v>
      </c>
      <c r="AD50" s="196">
        <f>ATP_fill!BI53</f>
        <v>0</v>
      </c>
    </row>
    <row r="51" spans="1:30" x14ac:dyDescent="0.35">
      <c r="A51" s="4">
        <f>IF(ATP_fill!C54=0,"",ATP_fill!C54)</f>
        <v>46370</v>
      </c>
      <c r="B51" t="str">
        <f>ATP_fill!I54</f>
        <v>Trans</v>
      </c>
      <c r="C51" t="str">
        <f>ATP_fill!E54</f>
        <v>-</v>
      </c>
      <c r="D51" t="str">
        <f>ATP_fill!F54</f>
        <v>-</v>
      </c>
      <c r="E51" s="2" t="str">
        <f>ATP_fill!G54</f>
        <v>-</v>
      </c>
      <c r="F51" s="11">
        <f>ATP_fill!AZ54</f>
        <v>0</v>
      </c>
      <c r="G51">
        <f>ATP_fill!AR54</f>
        <v>0</v>
      </c>
      <c r="H51">
        <f>ATP_fill!AS54</f>
        <v>0</v>
      </c>
      <c r="I51">
        <f>ATP_fill!AT54</f>
        <v>0</v>
      </c>
      <c r="J51">
        <f>ATP_fill!AU54</f>
        <v>0</v>
      </c>
      <c r="K51">
        <f>ATP_fill!AV54</f>
        <v>0</v>
      </c>
      <c r="L51">
        <f>ATP_fill!AW54</f>
        <v>0</v>
      </c>
      <c r="M51">
        <f>ATP_fill!AX54</f>
        <v>0</v>
      </c>
      <c r="N51" s="195">
        <f ca="1">ATP_fill!T54</f>
        <v>0</v>
      </c>
      <c r="O51" s="195">
        <f ca="1">ATP_fill!W54</f>
        <v>0</v>
      </c>
      <c r="P51" s="195">
        <f ca="1">ATP_fill!Z54</f>
        <v>0</v>
      </c>
      <c r="Q51" s="195">
        <f ca="1">ATP_fill!AC54</f>
        <v>0</v>
      </c>
      <c r="R51" s="195">
        <f ca="1">ATP_fill!AF54</f>
        <v>0</v>
      </c>
      <c r="S51" s="195">
        <f ca="1">ATP_fill!AI54</f>
        <v>0</v>
      </c>
      <c r="T51" s="195">
        <f ca="1">ATP_fill!AL54</f>
        <v>0</v>
      </c>
      <c r="U51" s="195">
        <f ca="1">ATP_fill!AO54</f>
        <v>0</v>
      </c>
      <c r="V51" s="195">
        <f t="shared" ca="1" si="0"/>
        <v>0</v>
      </c>
      <c r="W51" s="196">
        <f>ATP_fill!BB54</f>
        <v>0</v>
      </c>
      <c r="X51" s="196">
        <f>ATP_fill!BC54</f>
        <v>0</v>
      </c>
      <c r="Y51" s="196">
        <f>ATP_fill!BD54</f>
        <v>0</v>
      </c>
      <c r="Z51" s="196">
        <f>ATP_fill!BE54</f>
        <v>0</v>
      </c>
      <c r="AA51" s="196">
        <f>ATP_fill!BF54</f>
        <v>0</v>
      </c>
      <c r="AB51" s="196">
        <f>ATP_fill!BG54</f>
        <v>0</v>
      </c>
      <c r="AC51" s="196">
        <f>ATP_fill!BH54</f>
        <v>0</v>
      </c>
      <c r="AD51" s="196">
        <f>ATP_fill!BI54</f>
        <v>0</v>
      </c>
    </row>
    <row r="52" spans="1:30" x14ac:dyDescent="0.35">
      <c r="A52" s="4" t="str">
        <f>IF(ATP_fill!C57=0,"",ATP_fill!C57)</f>
        <v/>
      </c>
      <c r="B52">
        <f>ATP_fill!I57</f>
        <v>0</v>
      </c>
      <c r="C52">
        <f>ATP_fill!E57</f>
        <v>0</v>
      </c>
      <c r="D52">
        <f>ATP_fill!F57</f>
        <v>0</v>
      </c>
      <c r="E52" s="2">
        <f>ATP_fill!G57</f>
        <v>0</v>
      </c>
      <c r="F52" s="11">
        <f>ATP_fill!AZ57</f>
        <v>0</v>
      </c>
      <c r="G52">
        <f>ATP_fill!AR57</f>
        <v>0</v>
      </c>
      <c r="H52">
        <f>ATP_fill!AS57</f>
        <v>0</v>
      </c>
      <c r="I52">
        <f>ATP_fill!AT57</f>
        <v>0</v>
      </c>
      <c r="J52">
        <f>ATP_fill!AU57</f>
        <v>0</v>
      </c>
      <c r="K52">
        <f>ATP_fill!AV57</f>
        <v>0</v>
      </c>
      <c r="L52">
        <f>ATP_fill!AW57</f>
        <v>0</v>
      </c>
      <c r="M52">
        <f>ATP_fill!AX57</f>
        <v>0</v>
      </c>
      <c r="N52" s="195">
        <f>ATP_fill!T57</f>
        <v>0</v>
      </c>
      <c r="O52" s="195">
        <f>ATP_fill!W57</f>
        <v>0</v>
      </c>
      <c r="P52" s="195">
        <f>ATP_fill!Z57</f>
        <v>0</v>
      </c>
      <c r="Q52" s="195">
        <f>ATP_fill!AC57</f>
        <v>0</v>
      </c>
      <c r="R52" s="195">
        <f>ATP_fill!AF57</f>
        <v>0</v>
      </c>
      <c r="S52" s="195">
        <f>ATP_fill!AI57</f>
        <v>0</v>
      </c>
      <c r="T52" s="195">
        <f>ATP_fill!AL57</f>
        <v>0</v>
      </c>
      <c r="U52" s="195">
        <f>ATP_fill!AO57</f>
        <v>0</v>
      </c>
      <c r="V52" s="195">
        <f t="shared" si="0"/>
        <v>0</v>
      </c>
      <c r="W52" s="196">
        <f>ATP_fill!BB57</f>
        <v>0</v>
      </c>
      <c r="X52" s="196">
        <f>ATP_fill!BC57</f>
        <v>0</v>
      </c>
      <c r="Y52" s="196">
        <f>ATP_fill!BD57</f>
        <v>0</v>
      </c>
      <c r="Z52" s="196">
        <f>ATP_fill!BE57</f>
        <v>0</v>
      </c>
      <c r="AA52" s="196">
        <f>ATP_fill!BF57</f>
        <v>0</v>
      </c>
      <c r="AB52" s="196">
        <f>ATP_fill!BG57</f>
        <v>0</v>
      </c>
      <c r="AC52" s="196">
        <f>ATP_fill!BH57</f>
        <v>0</v>
      </c>
      <c r="AD52" s="196">
        <f>ATP_fill!BI57</f>
        <v>0</v>
      </c>
    </row>
    <row r="53" spans="1:30" x14ac:dyDescent="0.35">
      <c r="A53" s="4" t="e">
        <f>IF(ATP_fill!#REF!=0,"",ATP_fill!#REF!)</f>
        <v>#REF!</v>
      </c>
      <c r="B53" t="e">
        <f>ATP_fill!#REF!</f>
        <v>#REF!</v>
      </c>
      <c r="C53" t="e">
        <f>ATP_fill!#REF!</f>
        <v>#REF!</v>
      </c>
      <c r="D53" t="e">
        <f>ATP_fill!#REF!</f>
        <v>#REF!</v>
      </c>
      <c r="E53" s="2" t="e">
        <f>ATP_fill!#REF!</f>
        <v>#REF!</v>
      </c>
      <c r="F53" s="11" t="e">
        <f>ATP_fill!#REF!</f>
        <v>#REF!</v>
      </c>
      <c r="G53" t="e">
        <f>ATP_fill!#REF!</f>
        <v>#REF!</v>
      </c>
      <c r="H53" t="e">
        <f>ATP_fill!#REF!</f>
        <v>#REF!</v>
      </c>
      <c r="I53" t="e">
        <f>ATP_fill!#REF!</f>
        <v>#REF!</v>
      </c>
      <c r="J53" t="e">
        <f>ATP_fill!#REF!</f>
        <v>#REF!</v>
      </c>
      <c r="K53" t="e">
        <f>ATP_fill!#REF!</f>
        <v>#REF!</v>
      </c>
      <c r="L53" t="e">
        <f>ATP_fill!#REF!</f>
        <v>#REF!</v>
      </c>
      <c r="M53" t="e">
        <f>ATP_fill!#REF!</f>
        <v>#REF!</v>
      </c>
      <c r="N53" s="195" t="e">
        <f>ATP_fill!#REF!</f>
        <v>#REF!</v>
      </c>
      <c r="O53" s="195" t="e">
        <f>ATP_fill!#REF!</f>
        <v>#REF!</v>
      </c>
      <c r="P53" s="195" t="e">
        <f>ATP_fill!#REF!</f>
        <v>#REF!</v>
      </c>
      <c r="Q53" s="195" t="e">
        <f>ATP_fill!#REF!</f>
        <v>#REF!</v>
      </c>
      <c r="R53" s="195" t="e">
        <f>ATP_fill!#REF!</f>
        <v>#REF!</v>
      </c>
      <c r="S53" s="195" t="e">
        <f>ATP_fill!#REF!</f>
        <v>#REF!</v>
      </c>
      <c r="T53" s="195" t="e">
        <f>ATP_fill!#REF!</f>
        <v>#REF!</v>
      </c>
      <c r="U53" s="195" t="e">
        <f>ATP_fill!#REF!</f>
        <v>#REF!</v>
      </c>
      <c r="V53" s="195" t="e">
        <f t="shared" si="0"/>
        <v>#REF!</v>
      </c>
      <c r="W53" s="196" t="e">
        <f>ATP_fill!#REF!</f>
        <v>#REF!</v>
      </c>
      <c r="X53" s="196" t="e">
        <f>ATP_fill!#REF!</f>
        <v>#REF!</v>
      </c>
      <c r="Y53" s="196" t="e">
        <f>ATP_fill!#REF!</f>
        <v>#REF!</v>
      </c>
      <c r="Z53" s="196" t="e">
        <f>ATP_fill!#REF!</f>
        <v>#REF!</v>
      </c>
      <c r="AA53" s="196" t="e">
        <f>ATP_fill!#REF!</f>
        <v>#REF!</v>
      </c>
      <c r="AB53" s="196" t="e">
        <f>ATP_fill!#REF!</f>
        <v>#REF!</v>
      </c>
      <c r="AC53" s="196" t="e">
        <f>ATP_fill!#REF!</f>
        <v>#REF!</v>
      </c>
      <c r="AD53" s="196"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ED101-9A36-4882-A5FC-300598FD9E0F}">
  <dimension ref="A4:R54"/>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7.6328125" customWidth="1"/>
    <col min="7" max="7" width="13.6328125" customWidth="1"/>
    <col min="8" max="8" width="16.6328125" customWidth="1"/>
    <col min="9" max="9" width="25.6328125" customWidth="1"/>
    <col min="10" max="10" width="22.90625" customWidth="1"/>
    <col min="11" max="11" width="13.6328125" customWidth="1"/>
    <col min="12" max="12" width="12.6328125" customWidth="1"/>
    <col min="13" max="13" width="17.6328125" customWidth="1"/>
    <col min="14" max="14" width="13.6328125" customWidth="1"/>
    <col min="15" max="15" width="16.6328125" customWidth="1"/>
    <col min="16" max="17" width="19.6328125" customWidth="1"/>
    <col min="18" max="18" width="17.6328125" customWidth="1"/>
  </cols>
  <sheetData>
    <row r="4" spans="1:18" x14ac:dyDescent="0.35">
      <c r="A4" t="s">
        <v>11</v>
      </c>
      <c r="B4" t="s">
        <v>186</v>
      </c>
      <c r="C4" t="s">
        <v>187</v>
      </c>
      <c r="D4" t="s">
        <v>188</v>
      </c>
      <c r="E4" t="s">
        <v>189</v>
      </c>
      <c r="F4" t="s">
        <v>190</v>
      </c>
      <c r="G4" t="s">
        <v>191</v>
      </c>
      <c r="H4" t="s">
        <v>192</v>
      </c>
      <c r="I4" t="s">
        <v>193</v>
      </c>
      <c r="J4" t="s">
        <v>194</v>
      </c>
      <c r="K4" t="s">
        <v>195</v>
      </c>
      <c r="L4" t="s">
        <v>196</v>
      </c>
      <c r="M4" t="s">
        <v>197</v>
      </c>
      <c r="N4" t="s">
        <v>198</v>
      </c>
      <c r="O4" t="s">
        <v>199</v>
      </c>
      <c r="P4" t="s">
        <v>200</v>
      </c>
      <c r="Q4" t="s">
        <v>201</v>
      </c>
      <c r="R4" t="s">
        <v>202</v>
      </c>
    </row>
    <row r="5" spans="1:18" x14ac:dyDescent="0.35">
      <c r="A5" t="s">
        <v>203</v>
      </c>
      <c r="B5">
        <v>150</v>
      </c>
      <c r="C5">
        <v>0</v>
      </c>
      <c r="D5">
        <v>177</v>
      </c>
      <c r="E5">
        <v>78</v>
      </c>
      <c r="F5">
        <v>0</v>
      </c>
      <c r="G5">
        <v>0</v>
      </c>
      <c r="H5">
        <v>0</v>
      </c>
      <c r="I5">
        <v>150</v>
      </c>
      <c r="J5">
        <v>0</v>
      </c>
      <c r="K5">
        <v>160</v>
      </c>
      <c r="L5">
        <v>35</v>
      </c>
      <c r="M5">
        <v>50</v>
      </c>
      <c r="N5">
        <v>0</v>
      </c>
      <c r="O5">
        <v>0</v>
      </c>
      <c r="P5">
        <v>405</v>
      </c>
      <c r="Q5">
        <v>395</v>
      </c>
      <c r="R5">
        <v>10</v>
      </c>
    </row>
    <row r="6" spans="1:18" x14ac:dyDescent="0.35">
      <c r="A6" t="s">
        <v>204</v>
      </c>
      <c r="B6">
        <v>150</v>
      </c>
      <c r="C6">
        <v>0</v>
      </c>
      <c r="D6">
        <v>149</v>
      </c>
      <c r="E6">
        <v>88</v>
      </c>
      <c r="F6">
        <v>0</v>
      </c>
      <c r="G6">
        <v>0</v>
      </c>
      <c r="H6">
        <v>0</v>
      </c>
      <c r="I6">
        <v>150</v>
      </c>
      <c r="J6">
        <v>0</v>
      </c>
      <c r="K6">
        <v>250</v>
      </c>
      <c r="L6">
        <v>100</v>
      </c>
      <c r="M6">
        <v>0</v>
      </c>
      <c r="N6">
        <v>20</v>
      </c>
      <c r="O6">
        <v>0</v>
      </c>
      <c r="P6">
        <v>387</v>
      </c>
      <c r="Q6">
        <v>520</v>
      </c>
      <c r="R6">
        <v>-133</v>
      </c>
    </row>
    <row r="7" spans="1:18" x14ac:dyDescent="0.35">
      <c r="A7" t="s">
        <v>205</v>
      </c>
      <c r="B7">
        <v>150</v>
      </c>
      <c r="C7">
        <v>0</v>
      </c>
      <c r="D7">
        <v>177</v>
      </c>
      <c r="E7">
        <v>119</v>
      </c>
      <c r="F7">
        <v>0</v>
      </c>
      <c r="G7">
        <v>0</v>
      </c>
      <c r="H7">
        <v>0</v>
      </c>
      <c r="I7">
        <v>150</v>
      </c>
      <c r="J7">
        <v>0</v>
      </c>
      <c r="K7">
        <v>260</v>
      </c>
      <c r="L7">
        <v>140</v>
      </c>
      <c r="M7">
        <v>0</v>
      </c>
      <c r="N7">
        <v>0</v>
      </c>
      <c r="O7">
        <v>0</v>
      </c>
      <c r="P7">
        <v>446</v>
      </c>
      <c r="Q7">
        <v>550</v>
      </c>
      <c r="R7">
        <v>-104</v>
      </c>
    </row>
    <row r="8" spans="1:18" x14ac:dyDescent="0.35">
      <c r="A8" t="s">
        <v>206</v>
      </c>
      <c r="B8">
        <v>150</v>
      </c>
      <c r="C8">
        <v>0</v>
      </c>
      <c r="D8">
        <v>177</v>
      </c>
      <c r="E8">
        <v>31</v>
      </c>
      <c r="F8">
        <v>0</v>
      </c>
      <c r="G8">
        <v>0</v>
      </c>
      <c r="H8">
        <v>0</v>
      </c>
      <c r="I8">
        <v>150</v>
      </c>
      <c r="J8">
        <v>0</v>
      </c>
      <c r="K8">
        <v>170</v>
      </c>
      <c r="L8">
        <v>115</v>
      </c>
      <c r="M8">
        <v>50</v>
      </c>
      <c r="N8">
        <v>0</v>
      </c>
      <c r="O8">
        <v>0</v>
      </c>
      <c r="P8">
        <v>358</v>
      </c>
      <c r="Q8">
        <v>485</v>
      </c>
      <c r="R8">
        <v>-127</v>
      </c>
    </row>
    <row r="9" spans="1:18" x14ac:dyDescent="0.35">
      <c r="A9" t="s">
        <v>207</v>
      </c>
      <c r="B9">
        <v>150</v>
      </c>
      <c r="C9">
        <v>0</v>
      </c>
      <c r="D9">
        <v>177</v>
      </c>
      <c r="E9">
        <v>31</v>
      </c>
      <c r="F9">
        <v>0</v>
      </c>
      <c r="G9">
        <v>0</v>
      </c>
      <c r="H9">
        <v>0</v>
      </c>
      <c r="I9">
        <v>150</v>
      </c>
      <c r="J9">
        <v>0</v>
      </c>
      <c r="K9">
        <v>220</v>
      </c>
      <c r="L9">
        <v>150</v>
      </c>
      <c r="M9">
        <v>0</v>
      </c>
      <c r="N9">
        <v>0</v>
      </c>
      <c r="O9">
        <v>0</v>
      </c>
      <c r="P9">
        <v>358</v>
      </c>
      <c r="Q9">
        <v>520</v>
      </c>
      <c r="R9">
        <v>-162</v>
      </c>
    </row>
    <row r="10" spans="1:18" x14ac:dyDescent="0.35">
      <c r="A10" t="s">
        <v>208</v>
      </c>
      <c r="B10">
        <v>150</v>
      </c>
      <c r="C10">
        <v>0</v>
      </c>
      <c r="D10">
        <v>230</v>
      </c>
      <c r="E10">
        <v>40</v>
      </c>
      <c r="F10">
        <v>0</v>
      </c>
      <c r="G10">
        <v>0</v>
      </c>
      <c r="H10">
        <v>0</v>
      </c>
      <c r="I10">
        <v>150</v>
      </c>
      <c r="J10">
        <v>0</v>
      </c>
      <c r="K10">
        <v>305</v>
      </c>
      <c r="L10">
        <v>190</v>
      </c>
      <c r="M10">
        <v>0</v>
      </c>
      <c r="N10">
        <v>0</v>
      </c>
      <c r="O10">
        <v>0</v>
      </c>
      <c r="P10">
        <v>420</v>
      </c>
      <c r="Q10">
        <v>645</v>
      </c>
      <c r="R10">
        <v>-225</v>
      </c>
    </row>
    <row r="11" spans="1:18" x14ac:dyDescent="0.35">
      <c r="A11" t="s">
        <v>209</v>
      </c>
      <c r="B11">
        <v>150</v>
      </c>
      <c r="C11">
        <v>0</v>
      </c>
      <c r="D11">
        <v>149</v>
      </c>
      <c r="E11">
        <v>120</v>
      </c>
      <c r="F11">
        <v>0</v>
      </c>
      <c r="G11">
        <v>0</v>
      </c>
      <c r="H11">
        <v>0</v>
      </c>
      <c r="I11">
        <v>150</v>
      </c>
      <c r="J11">
        <v>0</v>
      </c>
      <c r="K11">
        <v>355</v>
      </c>
      <c r="L11">
        <v>200</v>
      </c>
      <c r="M11">
        <v>50</v>
      </c>
      <c r="N11">
        <v>0</v>
      </c>
      <c r="O11">
        <v>0</v>
      </c>
      <c r="P11">
        <v>419</v>
      </c>
      <c r="Q11">
        <v>755</v>
      </c>
      <c r="R11">
        <v>-336</v>
      </c>
    </row>
    <row r="12" spans="1:18" x14ac:dyDescent="0.35">
      <c r="A12" t="s">
        <v>210</v>
      </c>
      <c r="B12">
        <v>150</v>
      </c>
      <c r="C12">
        <v>0</v>
      </c>
      <c r="D12">
        <v>177</v>
      </c>
      <c r="E12">
        <v>31</v>
      </c>
      <c r="F12">
        <v>0</v>
      </c>
      <c r="G12">
        <v>0</v>
      </c>
      <c r="H12">
        <v>0</v>
      </c>
      <c r="I12">
        <v>150</v>
      </c>
      <c r="J12">
        <v>0</v>
      </c>
      <c r="K12">
        <v>160</v>
      </c>
      <c r="L12">
        <v>90</v>
      </c>
      <c r="M12">
        <v>0</v>
      </c>
      <c r="N12">
        <v>0</v>
      </c>
      <c r="O12">
        <v>0</v>
      </c>
      <c r="P12">
        <v>358</v>
      </c>
      <c r="Q12">
        <v>400</v>
      </c>
      <c r="R12">
        <v>-42</v>
      </c>
    </row>
    <row r="13" spans="1:18" x14ac:dyDescent="0.35">
      <c r="A13" t="s">
        <v>211</v>
      </c>
      <c r="B13">
        <v>150</v>
      </c>
      <c r="C13">
        <v>0</v>
      </c>
      <c r="D13">
        <v>227</v>
      </c>
      <c r="E13">
        <v>36</v>
      </c>
      <c r="F13">
        <v>0</v>
      </c>
      <c r="G13">
        <v>0</v>
      </c>
      <c r="H13">
        <v>0</v>
      </c>
      <c r="I13">
        <v>150</v>
      </c>
      <c r="J13">
        <v>0</v>
      </c>
      <c r="K13">
        <v>235</v>
      </c>
      <c r="L13">
        <v>200</v>
      </c>
      <c r="M13">
        <v>0</v>
      </c>
      <c r="N13">
        <v>0</v>
      </c>
      <c r="O13">
        <v>0</v>
      </c>
      <c r="P13">
        <v>413</v>
      </c>
      <c r="Q13">
        <v>585</v>
      </c>
      <c r="R13">
        <v>-172</v>
      </c>
    </row>
    <row r="14" spans="1:18" x14ac:dyDescent="0.35">
      <c r="A14" t="s">
        <v>212</v>
      </c>
      <c r="B14">
        <v>150</v>
      </c>
      <c r="C14">
        <v>0</v>
      </c>
      <c r="D14">
        <v>217</v>
      </c>
      <c r="E14">
        <v>96</v>
      </c>
      <c r="F14">
        <v>0</v>
      </c>
      <c r="G14">
        <v>0</v>
      </c>
      <c r="H14">
        <v>0</v>
      </c>
      <c r="I14">
        <v>150</v>
      </c>
      <c r="J14">
        <v>0</v>
      </c>
      <c r="K14">
        <v>230</v>
      </c>
      <c r="L14">
        <v>235</v>
      </c>
      <c r="M14">
        <v>50</v>
      </c>
      <c r="N14">
        <v>0</v>
      </c>
      <c r="O14">
        <v>0</v>
      </c>
      <c r="P14">
        <v>463</v>
      </c>
      <c r="Q14">
        <v>665</v>
      </c>
      <c r="R14">
        <v>-202</v>
      </c>
    </row>
    <row r="15" spans="1:18" x14ac:dyDescent="0.35">
      <c r="A15" t="s">
        <v>213</v>
      </c>
      <c r="B15">
        <v>150</v>
      </c>
      <c r="C15">
        <v>0</v>
      </c>
      <c r="D15">
        <v>264</v>
      </c>
      <c r="E15">
        <v>40</v>
      </c>
      <c r="F15">
        <v>0</v>
      </c>
      <c r="G15">
        <v>0</v>
      </c>
      <c r="H15">
        <v>0</v>
      </c>
      <c r="I15">
        <v>150</v>
      </c>
      <c r="J15">
        <v>0</v>
      </c>
      <c r="K15">
        <v>230</v>
      </c>
      <c r="L15">
        <v>195</v>
      </c>
      <c r="M15">
        <v>0</v>
      </c>
      <c r="N15">
        <v>0</v>
      </c>
      <c r="O15">
        <v>0</v>
      </c>
      <c r="P15">
        <v>454</v>
      </c>
      <c r="Q15">
        <v>575</v>
      </c>
      <c r="R15">
        <v>-121</v>
      </c>
    </row>
    <row r="16" spans="1:18" x14ac:dyDescent="0.35">
      <c r="A16" t="s">
        <v>214</v>
      </c>
      <c r="B16">
        <v>150</v>
      </c>
      <c r="C16">
        <v>0</v>
      </c>
      <c r="D16">
        <v>167</v>
      </c>
      <c r="E16">
        <v>31</v>
      </c>
      <c r="F16">
        <v>0</v>
      </c>
      <c r="G16">
        <v>0</v>
      </c>
      <c r="H16">
        <v>0</v>
      </c>
      <c r="I16">
        <v>150</v>
      </c>
      <c r="J16">
        <v>0</v>
      </c>
      <c r="K16">
        <v>120</v>
      </c>
      <c r="L16">
        <v>135</v>
      </c>
      <c r="M16">
        <v>0</v>
      </c>
      <c r="N16">
        <v>0</v>
      </c>
      <c r="O16">
        <v>0</v>
      </c>
      <c r="P16">
        <v>348</v>
      </c>
      <c r="Q16">
        <v>405</v>
      </c>
      <c r="R16">
        <v>-57</v>
      </c>
    </row>
    <row r="17" spans="1:18" x14ac:dyDescent="0.35">
      <c r="A17" t="s">
        <v>215</v>
      </c>
      <c r="B17">
        <v>150</v>
      </c>
      <c r="C17">
        <v>0</v>
      </c>
      <c r="D17">
        <v>168</v>
      </c>
      <c r="E17">
        <v>36</v>
      </c>
      <c r="F17">
        <v>0</v>
      </c>
      <c r="G17">
        <v>0</v>
      </c>
      <c r="H17">
        <v>0</v>
      </c>
      <c r="I17">
        <v>150</v>
      </c>
      <c r="J17">
        <v>0</v>
      </c>
      <c r="K17">
        <v>255</v>
      </c>
      <c r="L17">
        <v>230</v>
      </c>
      <c r="M17">
        <v>0</v>
      </c>
      <c r="N17">
        <v>0</v>
      </c>
      <c r="O17">
        <v>0</v>
      </c>
      <c r="P17">
        <v>354</v>
      </c>
      <c r="Q17">
        <v>635</v>
      </c>
      <c r="R17">
        <v>-281</v>
      </c>
    </row>
    <row r="18" spans="1:18" x14ac:dyDescent="0.35">
      <c r="A18" t="s">
        <v>216</v>
      </c>
      <c r="B18">
        <v>150</v>
      </c>
      <c r="C18">
        <v>0</v>
      </c>
      <c r="D18">
        <v>168</v>
      </c>
      <c r="E18">
        <v>36</v>
      </c>
      <c r="F18">
        <v>0</v>
      </c>
      <c r="G18">
        <v>0</v>
      </c>
      <c r="H18">
        <v>0</v>
      </c>
      <c r="I18">
        <v>150</v>
      </c>
      <c r="J18">
        <v>0</v>
      </c>
      <c r="K18">
        <v>255</v>
      </c>
      <c r="L18">
        <v>225</v>
      </c>
      <c r="M18">
        <v>0</v>
      </c>
      <c r="N18">
        <v>0</v>
      </c>
      <c r="O18">
        <v>0</v>
      </c>
      <c r="P18">
        <v>354</v>
      </c>
      <c r="Q18">
        <v>630</v>
      </c>
      <c r="R18">
        <v>-276</v>
      </c>
    </row>
    <row r="19" spans="1:18" x14ac:dyDescent="0.35">
      <c r="A19" t="s">
        <v>217</v>
      </c>
      <c r="B19">
        <v>150</v>
      </c>
      <c r="C19">
        <v>0</v>
      </c>
      <c r="D19">
        <v>168</v>
      </c>
      <c r="E19">
        <v>42</v>
      </c>
      <c r="F19">
        <v>0</v>
      </c>
      <c r="G19">
        <v>0</v>
      </c>
      <c r="H19">
        <v>0</v>
      </c>
      <c r="I19">
        <v>150</v>
      </c>
      <c r="J19">
        <v>0</v>
      </c>
      <c r="K19">
        <v>255</v>
      </c>
      <c r="L19">
        <v>230</v>
      </c>
      <c r="M19">
        <v>0</v>
      </c>
      <c r="N19">
        <v>0</v>
      </c>
      <c r="O19">
        <v>0</v>
      </c>
      <c r="P19">
        <v>360</v>
      </c>
      <c r="Q19">
        <v>635</v>
      </c>
      <c r="R19">
        <v>-275</v>
      </c>
    </row>
    <row r="20" spans="1:18" x14ac:dyDescent="0.35">
      <c r="A20" t="s">
        <v>218</v>
      </c>
      <c r="B20">
        <v>150</v>
      </c>
      <c r="C20">
        <v>0</v>
      </c>
      <c r="D20">
        <v>168</v>
      </c>
      <c r="E20">
        <v>31</v>
      </c>
      <c r="F20">
        <v>0</v>
      </c>
      <c r="G20">
        <v>0</v>
      </c>
      <c r="H20">
        <v>0</v>
      </c>
      <c r="I20">
        <v>150</v>
      </c>
      <c r="J20">
        <v>0</v>
      </c>
      <c r="K20">
        <v>120</v>
      </c>
      <c r="L20">
        <v>130</v>
      </c>
      <c r="M20">
        <v>0</v>
      </c>
      <c r="N20">
        <v>0</v>
      </c>
      <c r="O20">
        <v>0</v>
      </c>
      <c r="P20">
        <v>349</v>
      </c>
      <c r="Q20">
        <v>400</v>
      </c>
      <c r="R20">
        <v>-51</v>
      </c>
    </row>
    <row r="21" spans="1:18" x14ac:dyDescent="0.35">
      <c r="A21" t="s">
        <v>219</v>
      </c>
      <c r="B21">
        <v>150</v>
      </c>
      <c r="C21">
        <v>0</v>
      </c>
      <c r="D21">
        <v>140</v>
      </c>
      <c r="E21">
        <v>0</v>
      </c>
      <c r="F21">
        <v>0</v>
      </c>
      <c r="G21">
        <v>0</v>
      </c>
      <c r="H21">
        <v>0</v>
      </c>
      <c r="I21">
        <v>150</v>
      </c>
      <c r="J21">
        <v>0</v>
      </c>
      <c r="K21">
        <v>155</v>
      </c>
      <c r="L21">
        <v>165</v>
      </c>
      <c r="M21">
        <v>0</v>
      </c>
      <c r="N21">
        <v>0</v>
      </c>
      <c r="O21">
        <v>0</v>
      </c>
      <c r="P21">
        <v>290</v>
      </c>
      <c r="Q21">
        <v>470</v>
      </c>
      <c r="R21">
        <v>-180</v>
      </c>
    </row>
    <row r="22" spans="1:18" x14ac:dyDescent="0.35">
      <c r="A22" t="s">
        <v>220</v>
      </c>
      <c r="B22">
        <v>150</v>
      </c>
      <c r="C22">
        <v>0</v>
      </c>
      <c r="D22">
        <v>140</v>
      </c>
      <c r="E22">
        <v>0</v>
      </c>
      <c r="F22">
        <v>0</v>
      </c>
      <c r="G22">
        <v>0</v>
      </c>
      <c r="H22">
        <v>0</v>
      </c>
      <c r="I22">
        <v>150</v>
      </c>
      <c r="J22">
        <v>0</v>
      </c>
      <c r="K22">
        <v>150</v>
      </c>
      <c r="L22">
        <v>95</v>
      </c>
      <c r="M22">
        <v>0</v>
      </c>
      <c r="N22">
        <v>0</v>
      </c>
      <c r="O22">
        <v>0</v>
      </c>
      <c r="P22">
        <v>290</v>
      </c>
      <c r="Q22">
        <v>395</v>
      </c>
      <c r="R22">
        <v>-105</v>
      </c>
    </row>
    <row r="23" spans="1:18" x14ac:dyDescent="0.35">
      <c r="A23" t="s">
        <v>221</v>
      </c>
      <c r="B23">
        <v>150</v>
      </c>
      <c r="C23">
        <v>0</v>
      </c>
      <c r="D23">
        <v>168</v>
      </c>
      <c r="E23">
        <v>36</v>
      </c>
      <c r="F23">
        <v>0</v>
      </c>
      <c r="G23">
        <v>0</v>
      </c>
      <c r="H23">
        <v>0</v>
      </c>
      <c r="I23">
        <v>150</v>
      </c>
      <c r="J23">
        <v>0</v>
      </c>
      <c r="K23">
        <v>100</v>
      </c>
      <c r="L23">
        <v>35</v>
      </c>
      <c r="M23">
        <v>0</v>
      </c>
      <c r="N23">
        <v>0</v>
      </c>
      <c r="O23">
        <v>0</v>
      </c>
      <c r="P23">
        <v>354</v>
      </c>
      <c r="Q23">
        <v>285</v>
      </c>
      <c r="R23">
        <v>69</v>
      </c>
    </row>
    <row r="24" spans="1:18" x14ac:dyDescent="0.35">
      <c r="A24" t="s">
        <v>222</v>
      </c>
      <c r="B24">
        <v>150</v>
      </c>
      <c r="C24">
        <v>0</v>
      </c>
      <c r="D24">
        <v>168</v>
      </c>
      <c r="E24">
        <v>36</v>
      </c>
      <c r="F24">
        <v>0</v>
      </c>
      <c r="G24">
        <v>0</v>
      </c>
      <c r="H24">
        <v>0</v>
      </c>
      <c r="I24">
        <v>150</v>
      </c>
      <c r="J24">
        <v>0</v>
      </c>
      <c r="K24">
        <v>100</v>
      </c>
      <c r="L24">
        <v>35</v>
      </c>
      <c r="M24">
        <v>0</v>
      </c>
      <c r="N24">
        <v>0</v>
      </c>
      <c r="O24">
        <v>0</v>
      </c>
      <c r="P24">
        <v>354</v>
      </c>
      <c r="Q24">
        <v>285</v>
      </c>
      <c r="R24">
        <v>69</v>
      </c>
    </row>
    <row r="25" spans="1:18" x14ac:dyDescent="0.35">
      <c r="A25" t="s">
        <v>223</v>
      </c>
      <c r="B25">
        <v>150</v>
      </c>
      <c r="C25">
        <v>0</v>
      </c>
      <c r="D25">
        <v>168</v>
      </c>
      <c r="E25">
        <v>93</v>
      </c>
      <c r="F25">
        <v>0</v>
      </c>
      <c r="G25">
        <v>0</v>
      </c>
      <c r="H25">
        <v>0</v>
      </c>
      <c r="I25">
        <v>150</v>
      </c>
      <c r="J25">
        <v>0</v>
      </c>
      <c r="K25">
        <v>100</v>
      </c>
      <c r="L25">
        <v>35</v>
      </c>
      <c r="M25">
        <v>0</v>
      </c>
      <c r="N25">
        <v>0</v>
      </c>
      <c r="O25">
        <v>0</v>
      </c>
      <c r="P25">
        <v>411</v>
      </c>
      <c r="Q25">
        <v>285</v>
      </c>
      <c r="R25">
        <v>126</v>
      </c>
    </row>
    <row r="26" spans="1:18" x14ac:dyDescent="0.35">
      <c r="A26" t="s">
        <v>224</v>
      </c>
      <c r="B26">
        <v>0</v>
      </c>
      <c r="C26">
        <v>0</v>
      </c>
      <c r="D26">
        <v>168</v>
      </c>
      <c r="E26">
        <v>36</v>
      </c>
      <c r="F26">
        <v>0</v>
      </c>
      <c r="G26">
        <v>0</v>
      </c>
      <c r="H26">
        <v>0</v>
      </c>
      <c r="I26">
        <v>0</v>
      </c>
      <c r="J26">
        <v>0</v>
      </c>
      <c r="K26">
        <v>100</v>
      </c>
      <c r="L26">
        <v>35</v>
      </c>
      <c r="M26">
        <v>0</v>
      </c>
      <c r="N26">
        <v>0</v>
      </c>
      <c r="O26">
        <v>0</v>
      </c>
      <c r="P26">
        <v>204</v>
      </c>
      <c r="Q26">
        <v>135</v>
      </c>
      <c r="R26">
        <v>69</v>
      </c>
    </row>
    <row r="27" spans="1:18" x14ac:dyDescent="0.35">
      <c r="A27" t="s">
        <v>225</v>
      </c>
      <c r="B27">
        <v>150</v>
      </c>
      <c r="C27">
        <v>0</v>
      </c>
      <c r="D27">
        <v>168</v>
      </c>
      <c r="E27">
        <v>36</v>
      </c>
      <c r="F27">
        <v>0</v>
      </c>
      <c r="G27">
        <v>0</v>
      </c>
      <c r="H27">
        <v>0</v>
      </c>
      <c r="I27">
        <v>150</v>
      </c>
      <c r="J27">
        <v>0</v>
      </c>
      <c r="K27">
        <v>100</v>
      </c>
      <c r="L27">
        <v>35</v>
      </c>
      <c r="M27">
        <v>0</v>
      </c>
      <c r="N27">
        <v>0</v>
      </c>
      <c r="O27">
        <v>0</v>
      </c>
      <c r="P27">
        <v>354</v>
      </c>
      <c r="Q27">
        <v>285</v>
      </c>
      <c r="R27">
        <v>69</v>
      </c>
    </row>
    <row r="28" spans="1:18" x14ac:dyDescent="0.35">
      <c r="A28" t="s">
        <v>226</v>
      </c>
      <c r="B28">
        <v>150</v>
      </c>
      <c r="C28">
        <v>0</v>
      </c>
      <c r="D28">
        <v>168</v>
      </c>
      <c r="E28">
        <v>36</v>
      </c>
      <c r="F28">
        <v>0</v>
      </c>
      <c r="G28">
        <v>0</v>
      </c>
      <c r="H28">
        <v>0</v>
      </c>
      <c r="I28">
        <v>150</v>
      </c>
      <c r="J28">
        <v>0</v>
      </c>
      <c r="K28">
        <v>100</v>
      </c>
      <c r="L28">
        <v>35</v>
      </c>
      <c r="M28">
        <v>0</v>
      </c>
      <c r="N28">
        <v>0</v>
      </c>
      <c r="O28">
        <v>0</v>
      </c>
      <c r="P28">
        <v>354</v>
      </c>
      <c r="Q28">
        <v>285</v>
      </c>
      <c r="R28">
        <v>69</v>
      </c>
    </row>
    <row r="29" spans="1:18" x14ac:dyDescent="0.35">
      <c r="A29" t="s">
        <v>227</v>
      </c>
      <c r="B29">
        <v>150</v>
      </c>
      <c r="C29">
        <v>0</v>
      </c>
      <c r="D29">
        <v>168</v>
      </c>
      <c r="E29">
        <v>36</v>
      </c>
      <c r="F29">
        <v>0</v>
      </c>
      <c r="G29">
        <v>0</v>
      </c>
      <c r="H29">
        <v>0</v>
      </c>
      <c r="I29">
        <v>150</v>
      </c>
      <c r="J29">
        <v>0</v>
      </c>
      <c r="K29">
        <v>100</v>
      </c>
      <c r="L29">
        <v>35</v>
      </c>
      <c r="M29">
        <v>0</v>
      </c>
      <c r="N29">
        <v>0</v>
      </c>
      <c r="O29">
        <v>0</v>
      </c>
      <c r="P29">
        <v>354</v>
      </c>
      <c r="Q29">
        <v>285</v>
      </c>
      <c r="R29">
        <v>69</v>
      </c>
    </row>
    <row r="30" spans="1:18" x14ac:dyDescent="0.35">
      <c r="A30" t="s">
        <v>228</v>
      </c>
      <c r="B30">
        <v>150</v>
      </c>
      <c r="C30">
        <v>0</v>
      </c>
      <c r="D30">
        <v>168</v>
      </c>
      <c r="E30">
        <v>36</v>
      </c>
      <c r="F30">
        <v>0</v>
      </c>
      <c r="G30">
        <v>0</v>
      </c>
      <c r="H30">
        <v>0</v>
      </c>
      <c r="I30">
        <v>150</v>
      </c>
      <c r="J30">
        <v>0</v>
      </c>
      <c r="K30">
        <v>170</v>
      </c>
      <c r="L30">
        <v>35</v>
      </c>
      <c r="M30">
        <v>0</v>
      </c>
      <c r="N30">
        <v>0</v>
      </c>
      <c r="O30">
        <v>0</v>
      </c>
      <c r="P30">
        <v>354</v>
      </c>
      <c r="Q30">
        <v>355</v>
      </c>
      <c r="R30">
        <v>-1</v>
      </c>
    </row>
    <row r="31" spans="1:18" x14ac:dyDescent="0.35">
      <c r="A31" t="s">
        <v>229</v>
      </c>
      <c r="B31">
        <v>150</v>
      </c>
      <c r="C31">
        <v>0</v>
      </c>
      <c r="D31">
        <v>168</v>
      </c>
      <c r="E31">
        <v>36</v>
      </c>
      <c r="F31">
        <v>0</v>
      </c>
      <c r="G31">
        <v>0</v>
      </c>
      <c r="H31">
        <v>0</v>
      </c>
      <c r="I31">
        <v>150</v>
      </c>
      <c r="J31">
        <v>0</v>
      </c>
      <c r="K31">
        <v>170</v>
      </c>
      <c r="L31">
        <v>35</v>
      </c>
      <c r="M31">
        <v>0</v>
      </c>
      <c r="N31">
        <v>0</v>
      </c>
      <c r="O31">
        <v>0</v>
      </c>
      <c r="P31">
        <v>354</v>
      </c>
      <c r="Q31">
        <v>355</v>
      </c>
      <c r="R31">
        <v>-1</v>
      </c>
    </row>
    <row r="32" spans="1:18" x14ac:dyDescent="0.35">
      <c r="A32" t="s">
        <v>230</v>
      </c>
      <c r="B32">
        <v>150</v>
      </c>
      <c r="C32">
        <v>0</v>
      </c>
      <c r="D32">
        <v>168</v>
      </c>
      <c r="E32">
        <v>36</v>
      </c>
      <c r="F32">
        <v>0</v>
      </c>
      <c r="G32">
        <v>0</v>
      </c>
      <c r="H32">
        <v>0</v>
      </c>
      <c r="I32">
        <v>150</v>
      </c>
      <c r="J32">
        <v>0</v>
      </c>
      <c r="K32">
        <v>170</v>
      </c>
      <c r="L32">
        <v>35</v>
      </c>
      <c r="M32">
        <v>0</v>
      </c>
      <c r="N32">
        <v>0</v>
      </c>
      <c r="O32">
        <v>0</v>
      </c>
      <c r="P32">
        <v>354</v>
      </c>
      <c r="Q32">
        <v>355</v>
      </c>
      <c r="R32">
        <v>-1</v>
      </c>
    </row>
    <row r="33" spans="1:18" x14ac:dyDescent="0.35">
      <c r="A33" t="s">
        <v>231</v>
      </c>
      <c r="B33">
        <v>150</v>
      </c>
      <c r="C33">
        <v>0</v>
      </c>
      <c r="D33">
        <v>168</v>
      </c>
      <c r="E33">
        <v>36</v>
      </c>
      <c r="F33">
        <v>0</v>
      </c>
      <c r="G33">
        <v>0</v>
      </c>
      <c r="H33">
        <v>0</v>
      </c>
      <c r="I33">
        <v>150</v>
      </c>
      <c r="J33">
        <v>0</v>
      </c>
      <c r="K33">
        <v>170</v>
      </c>
      <c r="L33">
        <v>35</v>
      </c>
      <c r="M33">
        <v>0</v>
      </c>
      <c r="N33">
        <v>0</v>
      </c>
      <c r="O33">
        <v>0</v>
      </c>
      <c r="P33">
        <v>354</v>
      </c>
      <c r="Q33">
        <v>355</v>
      </c>
      <c r="R33">
        <v>-1</v>
      </c>
    </row>
    <row r="34" spans="1:18" x14ac:dyDescent="0.35">
      <c r="A34" t="s">
        <v>232</v>
      </c>
      <c r="B34">
        <v>150</v>
      </c>
      <c r="C34">
        <v>0</v>
      </c>
      <c r="D34">
        <v>168</v>
      </c>
      <c r="E34">
        <v>36</v>
      </c>
      <c r="F34">
        <v>0</v>
      </c>
      <c r="G34">
        <v>0</v>
      </c>
      <c r="H34">
        <v>0</v>
      </c>
      <c r="I34">
        <v>150</v>
      </c>
      <c r="J34">
        <v>0</v>
      </c>
      <c r="K34">
        <v>170</v>
      </c>
      <c r="L34">
        <v>35</v>
      </c>
      <c r="M34">
        <v>0</v>
      </c>
      <c r="N34">
        <v>0</v>
      </c>
      <c r="O34">
        <v>0</v>
      </c>
      <c r="P34">
        <v>354</v>
      </c>
      <c r="Q34">
        <v>355</v>
      </c>
      <c r="R34">
        <v>-1</v>
      </c>
    </row>
    <row r="35" spans="1:18" x14ac:dyDescent="0.35">
      <c r="A35" t="s">
        <v>233</v>
      </c>
      <c r="B35">
        <v>150</v>
      </c>
      <c r="C35">
        <v>0</v>
      </c>
      <c r="D35">
        <v>140</v>
      </c>
      <c r="E35">
        <v>0</v>
      </c>
      <c r="F35">
        <v>0</v>
      </c>
      <c r="G35">
        <v>0</v>
      </c>
      <c r="H35">
        <v>0</v>
      </c>
      <c r="I35">
        <v>150</v>
      </c>
      <c r="J35">
        <v>0</v>
      </c>
      <c r="K35">
        <v>145</v>
      </c>
      <c r="L35">
        <v>0</v>
      </c>
      <c r="M35">
        <v>0</v>
      </c>
      <c r="N35">
        <v>0</v>
      </c>
      <c r="O35">
        <v>0</v>
      </c>
      <c r="P35">
        <v>290</v>
      </c>
      <c r="Q35">
        <v>295</v>
      </c>
      <c r="R35">
        <v>-5</v>
      </c>
    </row>
    <row r="36" spans="1:18" x14ac:dyDescent="0.35">
      <c r="A36" t="s">
        <v>234</v>
      </c>
      <c r="B36">
        <v>150</v>
      </c>
      <c r="C36">
        <v>0</v>
      </c>
      <c r="D36">
        <v>0</v>
      </c>
      <c r="E36">
        <v>0</v>
      </c>
      <c r="F36">
        <v>0</v>
      </c>
      <c r="G36">
        <v>0</v>
      </c>
      <c r="H36">
        <v>0</v>
      </c>
      <c r="I36">
        <v>150</v>
      </c>
      <c r="J36">
        <v>0</v>
      </c>
      <c r="K36">
        <v>0</v>
      </c>
      <c r="L36">
        <v>0</v>
      </c>
      <c r="M36">
        <v>0</v>
      </c>
      <c r="N36">
        <v>0</v>
      </c>
      <c r="O36">
        <v>0</v>
      </c>
      <c r="P36">
        <v>150</v>
      </c>
      <c r="Q36">
        <v>150</v>
      </c>
      <c r="R36">
        <v>0</v>
      </c>
    </row>
    <row r="37" spans="1:18" x14ac:dyDescent="0.35">
      <c r="A37" t="s">
        <v>235</v>
      </c>
      <c r="B37">
        <v>150</v>
      </c>
      <c r="C37">
        <v>0</v>
      </c>
      <c r="D37">
        <v>0</v>
      </c>
      <c r="E37">
        <v>0</v>
      </c>
      <c r="F37">
        <v>0</v>
      </c>
      <c r="G37">
        <v>0</v>
      </c>
      <c r="H37">
        <v>0</v>
      </c>
      <c r="I37">
        <v>150</v>
      </c>
      <c r="J37">
        <v>0</v>
      </c>
      <c r="K37">
        <v>0</v>
      </c>
      <c r="L37">
        <v>0</v>
      </c>
      <c r="M37">
        <v>0</v>
      </c>
      <c r="N37">
        <v>0</v>
      </c>
      <c r="O37">
        <v>0</v>
      </c>
      <c r="P37">
        <v>150</v>
      </c>
      <c r="Q37">
        <v>150</v>
      </c>
      <c r="R37">
        <v>0</v>
      </c>
    </row>
    <row r="38" spans="1:18" x14ac:dyDescent="0.35">
      <c r="A38" t="s">
        <v>236</v>
      </c>
      <c r="B38">
        <v>150</v>
      </c>
      <c r="C38">
        <v>0</v>
      </c>
      <c r="D38">
        <v>0</v>
      </c>
      <c r="E38">
        <v>0</v>
      </c>
      <c r="F38">
        <v>0</v>
      </c>
      <c r="G38">
        <v>0</v>
      </c>
      <c r="H38">
        <v>0</v>
      </c>
      <c r="I38">
        <v>150</v>
      </c>
      <c r="J38">
        <v>0</v>
      </c>
      <c r="K38">
        <v>0</v>
      </c>
      <c r="L38">
        <v>0</v>
      </c>
      <c r="M38">
        <v>0</v>
      </c>
      <c r="N38">
        <v>0</v>
      </c>
      <c r="O38">
        <v>0</v>
      </c>
      <c r="P38">
        <v>150</v>
      </c>
      <c r="Q38">
        <v>150</v>
      </c>
      <c r="R38">
        <v>0</v>
      </c>
    </row>
    <row r="39" spans="1:18" x14ac:dyDescent="0.35">
      <c r="A39" t="s">
        <v>237</v>
      </c>
      <c r="B39">
        <v>150</v>
      </c>
      <c r="C39">
        <v>0</v>
      </c>
      <c r="D39">
        <v>0</v>
      </c>
      <c r="E39">
        <v>0</v>
      </c>
      <c r="F39">
        <v>0</v>
      </c>
      <c r="G39">
        <v>0</v>
      </c>
      <c r="H39">
        <v>0</v>
      </c>
      <c r="I39">
        <v>150</v>
      </c>
      <c r="J39">
        <v>0</v>
      </c>
      <c r="K39">
        <v>0</v>
      </c>
      <c r="L39">
        <v>0</v>
      </c>
      <c r="M39">
        <v>0</v>
      </c>
      <c r="N39">
        <v>0</v>
      </c>
      <c r="O39">
        <v>0</v>
      </c>
      <c r="P39">
        <v>150</v>
      </c>
      <c r="Q39">
        <v>150</v>
      </c>
      <c r="R39">
        <v>0</v>
      </c>
    </row>
    <row r="40" spans="1:18" x14ac:dyDescent="0.35">
      <c r="A40" t="s">
        <v>238</v>
      </c>
      <c r="B40">
        <v>150</v>
      </c>
      <c r="C40">
        <v>0</v>
      </c>
      <c r="D40">
        <v>0</v>
      </c>
      <c r="E40">
        <v>0</v>
      </c>
      <c r="F40">
        <v>0</v>
      </c>
      <c r="G40">
        <v>0</v>
      </c>
      <c r="H40">
        <v>0</v>
      </c>
      <c r="I40">
        <v>150</v>
      </c>
      <c r="J40">
        <v>0</v>
      </c>
      <c r="K40">
        <v>0</v>
      </c>
      <c r="L40">
        <v>0</v>
      </c>
      <c r="M40">
        <v>0</v>
      </c>
      <c r="N40">
        <v>0</v>
      </c>
      <c r="O40">
        <v>0</v>
      </c>
      <c r="P40">
        <v>150</v>
      </c>
      <c r="Q40">
        <v>150</v>
      </c>
      <c r="R40">
        <v>0</v>
      </c>
    </row>
    <row r="41" spans="1:18" x14ac:dyDescent="0.35">
      <c r="A41" t="s">
        <v>239</v>
      </c>
      <c r="B41">
        <v>0</v>
      </c>
      <c r="C41">
        <v>0</v>
      </c>
      <c r="D41">
        <v>0</v>
      </c>
      <c r="E41">
        <v>0</v>
      </c>
      <c r="F41">
        <v>0</v>
      </c>
      <c r="G41">
        <v>0</v>
      </c>
      <c r="H41">
        <v>0</v>
      </c>
      <c r="I41">
        <v>150</v>
      </c>
      <c r="J41">
        <v>0</v>
      </c>
      <c r="K41">
        <v>0</v>
      </c>
      <c r="L41">
        <v>0</v>
      </c>
      <c r="M41">
        <v>0</v>
      </c>
      <c r="N41">
        <v>0</v>
      </c>
      <c r="O41">
        <v>0</v>
      </c>
      <c r="P41">
        <v>0</v>
      </c>
      <c r="Q41">
        <v>150</v>
      </c>
      <c r="R41">
        <v>-150</v>
      </c>
    </row>
    <row r="42" spans="1:18" x14ac:dyDescent="0.35">
      <c r="A42" t="s">
        <v>240</v>
      </c>
      <c r="B42">
        <v>0</v>
      </c>
      <c r="C42">
        <v>0</v>
      </c>
      <c r="D42">
        <v>0</v>
      </c>
      <c r="E42">
        <v>0</v>
      </c>
      <c r="F42">
        <v>0</v>
      </c>
      <c r="G42">
        <v>0</v>
      </c>
      <c r="H42">
        <v>0</v>
      </c>
      <c r="I42">
        <v>150</v>
      </c>
      <c r="J42">
        <v>0</v>
      </c>
      <c r="K42">
        <v>0</v>
      </c>
      <c r="L42">
        <v>0</v>
      </c>
      <c r="M42">
        <v>0</v>
      </c>
      <c r="N42">
        <v>0</v>
      </c>
      <c r="O42">
        <v>0</v>
      </c>
      <c r="P42">
        <v>0</v>
      </c>
      <c r="Q42">
        <v>150</v>
      </c>
      <c r="R42">
        <v>-150</v>
      </c>
    </row>
    <row r="43" spans="1:18" x14ac:dyDescent="0.35">
      <c r="A43" t="s">
        <v>241</v>
      </c>
      <c r="B43">
        <v>0</v>
      </c>
      <c r="C43">
        <v>0</v>
      </c>
      <c r="D43">
        <v>0</v>
      </c>
      <c r="E43">
        <v>0</v>
      </c>
      <c r="F43">
        <v>0</v>
      </c>
      <c r="G43">
        <v>0</v>
      </c>
      <c r="H43">
        <v>0</v>
      </c>
      <c r="I43">
        <v>150</v>
      </c>
      <c r="J43">
        <v>0</v>
      </c>
      <c r="K43">
        <v>0</v>
      </c>
      <c r="L43">
        <v>0</v>
      </c>
      <c r="M43">
        <v>0</v>
      </c>
      <c r="N43">
        <v>0</v>
      </c>
      <c r="O43">
        <v>0</v>
      </c>
      <c r="P43">
        <v>0</v>
      </c>
      <c r="Q43">
        <v>150</v>
      </c>
      <c r="R43">
        <v>-150</v>
      </c>
    </row>
    <row r="44" spans="1:18" x14ac:dyDescent="0.35">
      <c r="A44" t="s">
        <v>242</v>
      </c>
      <c r="B44">
        <v>0</v>
      </c>
      <c r="C44">
        <v>0</v>
      </c>
      <c r="D44">
        <v>0</v>
      </c>
      <c r="E44">
        <v>0</v>
      </c>
      <c r="F44">
        <v>0</v>
      </c>
      <c r="G44">
        <v>0</v>
      </c>
      <c r="H44">
        <v>0</v>
      </c>
      <c r="I44">
        <v>150</v>
      </c>
      <c r="J44">
        <v>0</v>
      </c>
      <c r="K44">
        <v>0</v>
      </c>
      <c r="L44">
        <v>0</v>
      </c>
      <c r="M44">
        <v>0</v>
      </c>
      <c r="N44">
        <v>0</v>
      </c>
      <c r="O44">
        <v>0</v>
      </c>
      <c r="P44">
        <v>0</v>
      </c>
      <c r="Q44">
        <v>150</v>
      </c>
      <c r="R44">
        <v>-150</v>
      </c>
    </row>
    <row r="45" spans="1:18" x14ac:dyDescent="0.35">
      <c r="A45" t="s">
        <v>243</v>
      </c>
      <c r="B45">
        <v>0</v>
      </c>
      <c r="C45">
        <v>0</v>
      </c>
      <c r="D45">
        <v>0</v>
      </c>
      <c r="E45">
        <v>0</v>
      </c>
      <c r="F45">
        <v>0</v>
      </c>
      <c r="G45">
        <v>0</v>
      </c>
      <c r="H45">
        <v>0</v>
      </c>
      <c r="I45">
        <v>150</v>
      </c>
      <c r="J45">
        <v>0</v>
      </c>
      <c r="K45">
        <v>0</v>
      </c>
      <c r="L45">
        <v>0</v>
      </c>
      <c r="M45">
        <v>0</v>
      </c>
      <c r="N45">
        <v>0</v>
      </c>
      <c r="O45">
        <v>0</v>
      </c>
      <c r="P45">
        <v>0</v>
      </c>
      <c r="Q45">
        <v>150</v>
      </c>
      <c r="R45">
        <v>-150</v>
      </c>
    </row>
    <row r="46" spans="1:18" x14ac:dyDescent="0.35">
      <c r="A46" t="s">
        <v>244</v>
      </c>
      <c r="B46">
        <v>0</v>
      </c>
      <c r="C46">
        <v>0</v>
      </c>
      <c r="D46">
        <v>0</v>
      </c>
      <c r="E46">
        <v>0</v>
      </c>
      <c r="F46">
        <v>0</v>
      </c>
      <c r="G46">
        <v>0</v>
      </c>
      <c r="H46">
        <v>0</v>
      </c>
      <c r="I46">
        <v>150</v>
      </c>
      <c r="J46">
        <v>0</v>
      </c>
      <c r="K46">
        <v>0</v>
      </c>
      <c r="L46">
        <v>0</v>
      </c>
      <c r="M46">
        <v>0</v>
      </c>
      <c r="N46">
        <v>0</v>
      </c>
      <c r="O46">
        <v>0</v>
      </c>
      <c r="P46">
        <v>0</v>
      </c>
      <c r="Q46">
        <v>150</v>
      </c>
      <c r="R46">
        <v>-150</v>
      </c>
    </row>
    <row r="47" spans="1:18" x14ac:dyDescent="0.35">
      <c r="A47" t="s">
        <v>245</v>
      </c>
      <c r="B47">
        <v>0</v>
      </c>
      <c r="C47">
        <v>0</v>
      </c>
      <c r="D47">
        <v>0</v>
      </c>
      <c r="E47">
        <v>0</v>
      </c>
      <c r="F47">
        <v>0</v>
      </c>
      <c r="G47">
        <v>0</v>
      </c>
      <c r="H47">
        <v>0</v>
      </c>
      <c r="I47">
        <v>150</v>
      </c>
      <c r="J47">
        <v>0</v>
      </c>
      <c r="K47">
        <v>0</v>
      </c>
      <c r="L47">
        <v>0</v>
      </c>
      <c r="M47">
        <v>0</v>
      </c>
      <c r="N47">
        <v>0</v>
      </c>
      <c r="O47">
        <v>0</v>
      </c>
      <c r="P47">
        <v>0</v>
      </c>
      <c r="Q47">
        <v>150</v>
      </c>
      <c r="R47">
        <v>-150</v>
      </c>
    </row>
    <row r="48" spans="1:18" x14ac:dyDescent="0.35">
      <c r="A48" t="s">
        <v>246</v>
      </c>
      <c r="B48">
        <v>0</v>
      </c>
      <c r="C48">
        <v>0</v>
      </c>
      <c r="D48">
        <v>0</v>
      </c>
      <c r="E48">
        <v>0</v>
      </c>
      <c r="F48">
        <v>0</v>
      </c>
      <c r="G48">
        <v>0</v>
      </c>
      <c r="H48">
        <v>0</v>
      </c>
      <c r="I48">
        <v>150</v>
      </c>
      <c r="J48">
        <v>0</v>
      </c>
      <c r="K48">
        <v>0</v>
      </c>
      <c r="L48">
        <v>0</v>
      </c>
      <c r="M48">
        <v>0</v>
      </c>
      <c r="N48">
        <v>0</v>
      </c>
      <c r="O48">
        <v>0</v>
      </c>
      <c r="P48">
        <v>0</v>
      </c>
      <c r="Q48">
        <v>150</v>
      </c>
      <c r="R48">
        <v>-150</v>
      </c>
    </row>
    <row r="49" spans="1:18" x14ac:dyDescent="0.35">
      <c r="A49" t="s">
        <v>247</v>
      </c>
      <c r="B49">
        <v>0</v>
      </c>
      <c r="C49">
        <v>0</v>
      </c>
      <c r="D49">
        <v>0</v>
      </c>
      <c r="E49">
        <v>0</v>
      </c>
      <c r="F49">
        <v>0</v>
      </c>
      <c r="G49">
        <v>0</v>
      </c>
      <c r="H49">
        <v>0</v>
      </c>
      <c r="I49">
        <v>150</v>
      </c>
      <c r="J49">
        <v>0</v>
      </c>
      <c r="K49">
        <v>0</v>
      </c>
      <c r="L49">
        <v>0</v>
      </c>
      <c r="M49">
        <v>0</v>
      </c>
      <c r="N49">
        <v>0</v>
      </c>
      <c r="O49">
        <v>0</v>
      </c>
      <c r="P49">
        <v>0</v>
      </c>
      <c r="Q49">
        <v>150</v>
      </c>
      <c r="R49">
        <v>-150</v>
      </c>
    </row>
    <row r="50" spans="1:18" x14ac:dyDescent="0.35">
      <c r="A50" t="s">
        <v>248</v>
      </c>
      <c r="B50">
        <v>0</v>
      </c>
      <c r="C50">
        <v>0</v>
      </c>
      <c r="D50">
        <v>0</v>
      </c>
      <c r="E50">
        <v>0</v>
      </c>
      <c r="F50">
        <v>0</v>
      </c>
      <c r="G50">
        <v>0</v>
      </c>
      <c r="H50">
        <v>0</v>
      </c>
      <c r="I50">
        <v>150</v>
      </c>
      <c r="J50">
        <v>0</v>
      </c>
      <c r="K50">
        <v>0</v>
      </c>
      <c r="L50">
        <v>0</v>
      </c>
      <c r="M50">
        <v>0</v>
      </c>
      <c r="N50">
        <v>0</v>
      </c>
      <c r="O50">
        <v>0</v>
      </c>
      <c r="P50">
        <v>0</v>
      </c>
      <c r="Q50">
        <v>150</v>
      </c>
      <c r="R50">
        <v>-150</v>
      </c>
    </row>
    <row r="51" spans="1:18" x14ac:dyDescent="0.35">
      <c r="A51" t="s">
        <v>249</v>
      </c>
      <c r="B51">
        <v>0</v>
      </c>
      <c r="C51">
        <v>0</v>
      </c>
      <c r="D51">
        <v>0</v>
      </c>
      <c r="E51">
        <v>0</v>
      </c>
      <c r="F51">
        <v>0</v>
      </c>
      <c r="G51">
        <v>0</v>
      </c>
      <c r="H51">
        <v>0</v>
      </c>
      <c r="I51">
        <v>150</v>
      </c>
      <c r="J51">
        <v>0</v>
      </c>
      <c r="K51">
        <v>0</v>
      </c>
      <c r="L51">
        <v>0</v>
      </c>
      <c r="M51">
        <v>0</v>
      </c>
      <c r="N51">
        <v>0</v>
      </c>
      <c r="O51">
        <v>0</v>
      </c>
      <c r="P51">
        <v>0</v>
      </c>
      <c r="Q51">
        <v>150</v>
      </c>
      <c r="R51">
        <v>-150</v>
      </c>
    </row>
    <row r="52" spans="1:18" x14ac:dyDescent="0.35">
      <c r="A52" t="s">
        <v>250</v>
      </c>
      <c r="B52">
        <v>0</v>
      </c>
      <c r="C52">
        <v>0</v>
      </c>
      <c r="D52">
        <v>0</v>
      </c>
      <c r="E52">
        <v>0</v>
      </c>
      <c r="F52">
        <v>0</v>
      </c>
      <c r="G52">
        <v>0</v>
      </c>
      <c r="H52">
        <v>0</v>
      </c>
      <c r="I52">
        <v>150</v>
      </c>
      <c r="J52">
        <v>0</v>
      </c>
      <c r="K52">
        <v>0</v>
      </c>
      <c r="L52">
        <v>0</v>
      </c>
      <c r="M52">
        <v>0</v>
      </c>
      <c r="N52">
        <v>0</v>
      </c>
      <c r="O52">
        <v>0</v>
      </c>
      <c r="P52">
        <v>0</v>
      </c>
      <c r="Q52">
        <v>150</v>
      </c>
      <c r="R52">
        <v>-150</v>
      </c>
    </row>
    <row r="53" spans="1:18" x14ac:dyDescent="0.35">
      <c r="A53" t="s">
        <v>251</v>
      </c>
      <c r="B53">
        <v>0</v>
      </c>
      <c r="C53">
        <v>0</v>
      </c>
      <c r="D53">
        <v>0</v>
      </c>
      <c r="E53">
        <v>0</v>
      </c>
      <c r="F53">
        <v>0</v>
      </c>
      <c r="G53">
        <v>0</v>
      </c>
      <c r="H53">
        <v>0</v>
      </c>
      <c r="I53">
        <v>150</v>
      </c>
      <c r="J53">
        <v>0</v>
      </c>
      <c r="K53">
        <v>0</v>
      </c>
      <c r="L53">
        <v>0</v>
      </c>
      <c r="M53">
        <v>0</v>
      </c>
      <c r="N53">
        <v>0</v>
      </c>
      <c r="O53">
        <v>0</v>
      </c>
      <c r="P53">
        <v>0</v>
      </c>
      <c r="Q53">
        <v>150</v>
      </c>
      <c r="R53">
        <v>-150</v>
      </c>
    </row>
    <row r="54" spans="1:18" x14ac:dyDescent="0.35">
      <c r="A54" t="s">
        <v>252</v>
      </c>
      <c r="B54">
        <v>0</v>
      </c>
      <c r="C54">
        <v>0</v>
      </c>
      <c r="D54">
        <v>0</v>
      </c>
      <c r="E54">
        <v>0</v>
      </c>
      <c r="F54">
        <v>0</v>
      </c>
      <c r="G54">
        <v>0</v>
      </c>
      <c r="H54">
        <v>0</v>
      </c>
      <c r="I54">
        <v>150</v>
      </c>
      <c r="J54">
        <v>0</v>
      </c>
      <c r="K54">
        <v>0</v>
      </c>
      <c r="L54">
        <v>0</v>
      </c>
      <c r="M54">
        <v>0</v>
      </c>
      <c r="N54">
        <v>0</v>
      </c>
      <c r="O54">
        <v>0</v>
      </c>
      <c r="P54">
        <v>0</v>
      </c>
      <c r="Q54">
        <v>150</v>
      </c>
      <c r="R54">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595F5-9ECC-47B3-B240-5B921AA2B437}">
  <dimension ref="A4:H54"/>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7.6328125" customWidth="1"/>
    <col min="7" max="7" width="13.6328125" customWidth="1"/>
    <col min="8" max="8" width="16.6328125" customWidth="1"/>
  </cols>
  <sheetData>
    <row r="4" spans="1:8" x14ac:dyDescent="0.35">
      <c r="A4" t="s">
        <v>11</v>
      </c>
      <c r="B4" t="s">
        <v>186</v>
      </c>
      <c r="C4" t="s">
        <v>187</v>
      </c>
      <c r="D4" t="s">
        <v>188</v>
      </c>
      <c r="E4" t="s">
        <v>189</v>
      </c>
      <c r="F4" t="s">
        <v>190</v>
      </c>
      <c r="G4" t="s">
        <v>191</v>
      </c>
      <c r="H4" t="s">
        <v>192</v>
      </c>
    </row>
    <row r="5" spans="1:8" x14ac:dyDescent="0.35">
      <c r="A5" t="s">
        <v>203</v>
      </c>
      <c r="B5">
        <v>150</v>
      </c>
      <c r="C5">
        <v>0</v>
      </c>
      <c r="D5">
        <v>177</v>
      </c>
      <c r="E5">
        <v>78</v>
      </c>
      <c r="F5">
        <v>0</v>
      </c>
      <c r="G5">
        <v>0</v>
      </c>
      <c r="H5">
        <v>0</v>
      </c>
    </row>
    <row r="6" spans="1:8" x14ac:dyDescent="0.35">
      <c r="A6" t="s">
        <v>204</v>
      </c>
      <c r="B6">
        <v>150</v>
      </c>
      <c r="C6">
        <v>0</v>
      </c>
      <c r="D6">
        <v>149</v>
      </c>
      <c r="E6">
        <v>88</v>
      </c>
      <c r="F6">
        <v>0</v>
      </c>
      <c r="G6">
        <v>0</v>
      </c>
      <c r="H6">
        <v>0</v>
      </c>
    </row>
    <row r="7" spans="1:8" x14ac:dyDescent="0.35">
      <c r="A7" t="s">
        <v>205</v>
      </c>
      <c r="B7">
        <v>150</v>
      </c>
      <c r="C7">
        <v>0</v>
      </c>
      <c r="D7">
        <v>177</v>
      </c>
      <c r="E7">
        <v>119</v>
      </c>
      <c r="F7">
        <v>0</v>
      </c>
      <c r="G7">
        <v>0</v>
      </c>
      <c r="H7">
        <v>0</v>
      </c>
    </row>
    <row r="8" spans="1:8" x14ac:dyDescent="0.35">
      <c r="A8" t="s">
        <v>206</v>
      </c>
      <c r="B8">
        <v>150</v>
      </c>
      <c r="C8">
        <v>0</v>
      </c>
      <c r="D8">
        <v>177</v>
      </c>
      <c r="E8">
        <v>31</v>
      </c>
      <c r="F8">
        <v>0</v>
      </c>
      <c r="G8">
        <v>0</v>
      </c>
      <c r="H8">
        <v>0</v>
      </c>
    </row>
    <row r="9" spans="1:8" x14ac:dyDescent="0.35">
      <c r="A9" t="s">
        <v>207</v>
      </c>
      <c r="B9">
        <v>150</v>
      </c>
      <c r="C9">
        <v>0</v>
      </c>
      <c r="D9">
        <v>177</v>
      </c>
      <c r="E9">
        <v>31</v>
      </c>
      <c r="F9">
        <v>0</v>
      </c>
      <c r="G9">
        <v>0</v>
      </c>
      <c r="H9">
        <v>0</v>
      </c>
    </row>
    <row r="10" spans="1:8" x14ac:dyDescent="0.35">
      <c r="A10" t="s">
        <v>208</v>
      </c>
      <c r="B10">
        <v>150</v>
      </c>
      <c r="C10">
        <v>0</v>
      </c>
      <c r="D10">
        <v>230</v>
      </c>
      <c r="E10">
        <v>40</v>
      </c>
      <c r="F10">
        <v>0</v>
      </c>
      <c r="G10">
        <v>0</v>
      </c>
      <c r="H10">
        <v>0</v>
      </c>
    </row>
    <row r="11" spans="1:8" x14ac:dyDescent="0.35">
      <c r="A11" t="s">
        <v>209</v>
      </c>
      <c r="B11">
        <v>150</v>
      </c>
      <c r="C11">
        <v>0</v>
      </c>
      <c r="D11">
        <v>149</v>
      </c>
      <c r="E11">
        <v>120</v>
      </c>
      <c r="F11">
        <v>0</v>
      </c>
      <c r="G11">
        <v>0</v>
      </c>
      <c r="H11">
        <v>0</v>
      </c>
    </row>
    <row r="12" spans="1:8" x14ac:dyDescent="0.35">
      <c r="A12" t="s">
        <v>210</v>
      </c>
      <c r="B12">
        <v>150</v>
      </c>
      <c r="C12">
        <v>0</v>
      </c>
      <c r="D12">
        <v>177</v>
      </c>
      <c r="E12">
        <v>31</v>
      </c>
      <c r="F12">
        <v>0</v>
      </c>
      <c r="G12">
        <v>0</v>
      </c>
      <c r="H12">
        <v>0</v>
      </c>
    </row>
    <row r="13" spans="1:8" x14ac:dyDescent="0.35">
      <c r="A13" t="s">
        <v>211</v>
      </c>
      <c r="B13">
        <v>150</v>
      </c>
      <c r="C13">
        <v>0</v>
      </c>
      <c r="D13">
        <v>227</v>
      </c>
      <c r="E13">
        <v>36</v>
      </c>
      <c r="F13">
        <v>0</v>
      </c>
      <c r="G13">
        <v>0</v>
      </c>
      <c r="H13">
        <v>0</v>
      </c>
    </row>
    <row r="14" spans="1:8" x14ac:dyDescent="0.35">
      <c r="A14" t="s">
        <v>212</v>
      </c>
      <c r="B14">
        <v>150</v>
      </c>
      <c r="C14">
        <v>0</v>
      </c>
      <c r="D14">
        <v>217</v>
      </c>
      <c r="E14">
        <v>96</v>
      </c>
      <c r="F14">
        <v>0</v>
      </c>
      <c r="G14">
        <v>0</v>
      </c>
      <c r="H14">
        <v>0</v>
      </c>
    </row>
    <row r="15" spans="1:8" x14ac:dyDescent="0.35">
      <c r="A15" t="s">
        <v>213</v>
      </c>
      <c r="B15">
        <v>150</v>
      </c>
      <c r="C15">
        <v>0</v>
      </c>
      <c r="D15">
        <v>264</v>
      </c>
      <c r="E15">
        <v>40</v>
      </c>
      <c r="F15">
        <v>0</v>
      </c>
      <c r="G15">
        <v>0</v>
      </c>
      <c r="H15">
        <v>0</v>
      </c>
    </row>
    <row r="16" spans="1:8" x14ac:dyDescent="0.35">
      <c r="A16" t="s">
        <v>214</v>
      </c>
      <c r="B16">
        <v>150</v>
      </c>
      <c r="C16">
        <v>0</v>
      </c>
      <c r="D16">
        <v>167</v>
      </c>
      <c r="E16">
        <v>31</v>
      </c>
      <c r="F16">
        <v>0</v>
      </c>
      <c r="G16">
        <v>0</v>
      </c>
      <c r="H16">
        <v>0</v>
      </c>
    </row>
    <row r="17" spans="1:8" x14ac:dyDescent="0.35">
      <c r="A17" t="s">
        <v>215</v>
      </c>
      <c r="B17">
        <v>150</v>
      </c>
      <c r="C17">
        <v>0</v>
      </c>
      <c r="D17">
        <v>168</v>
      </c>
      <c r="E17">
        <v>36</v>
      </c>
      <c r="F17">
        <v>0</v>
      </c>
      <c r="G17">
        <v>0</v>
      </c>
      <c r="H17">
        <v>0</v>
      </c>
    </row>
    <row r="18" spans="1:8" x14ac:dyDescent="0.35">
      <c r="A18" t="s">
        <v>216</v>
      </c>
      <c r="B18">
        <v>150</v>
      </c>
      <c r="C18">
        <v>0</v>
      </c>
      <c r="D18">
        <v>168</v>
      </c>
      <c r="E18">
        <v>36</v>
      </c>
      <c r="F18">
        <v>0</v>
      </c>
      <c r="G18">
        <v>0</v>
      </c>
      <c r="H18">
        <v>0</v>
      </c>
    </row>
    <row r="19" spans="1:8" x14ac:dyDescent="0.35">
      <c r="A19" t="s">
        <v>217</v>
      </c>
      <c r="B19">
        <v>150</v>
      </c>
      <c r="C19">
        <v>0</v>
      </c>
      <c r="D19">
        <v>168</v>
      </c>
      <c r="E19">
        <v>42</v>
      </c>
      <c r="F19">
        <v>0</v>
      </c>
      <c r="G19">
        <v>0</v>
      </c>
      <c r="H19">
        <v>0</v>
      </c>
    </row>
    <row r="20" spans="1:8" x14ac:dyDescent="0.35">
      <c r="A20" t="s">
        <v>218</v>
      </c>
      <c r="B20">
        <v>150</v>
      </c>
      <c r="C20">
        <v>0</v>
      </c>
      <c r="D20">
        <v>168</v>
      </c>
      <c r="E20">
        <v>31</v>
      </c>
      <c r="F20">
        <v>0</v>
      </c>
      <c r="G20">
        <v>0</v>
      </c>
      <c r="H20">
        <v>0</v>
      </c>
    </row>
    <row r="21" spans="1:8" x14ac:dyDescent="0.35">
      <c r="A21" t="s">
        <v>219</v>
      </c>
      <c r="B21">
        <v>150</v>
      </c>
      <c r="C21">
        <v>0</v>
      </c>
      <c r="D21">
        <v>140</v>
      </c>
      <c r="E21">
        <v>0</v>
      </c>
      <c r="F21">
        <v>0</v>
      </c>
      <c r="G21">
        <v>0</v>
      </c>
      <c r="H21">
        <v>0</v>
      </c>
    </row>
    <row r="22" spans="1:8" x14ac:dyDescent="0.35">
      <c r="A22" t="s">
        <v>220</v>
      </c>
      <c r="B22">
        <v>150</v>
      </c>
      <c r="C22">
        <v>0</v>
      </c>
      <c r="D22">
        <v>140</v>
      </c>
      <c r="E22">
        <v>0</v>
      </c>
      <c r="F22">
        <v>0</v>
      </c>
      <c r="G22">
        <v>0</v>
      </c>
      <c r="H22">
        <v>0</v>
      </c>
    </row>
    <row r="23" spans="1:8" x14ac:dyDescent="0.35">
      <c r="A23" t="s">
        <v>221</v>
      </c>
      <c r="B23">
        <v>150</v>
      </c>
      <c r="C23">
        <v>0</v>
      </c>
      <c r="D23">
        <v>168</v>
      </c>
      <c r="E23">
        <v>36</v>
      </c>
      <c r="F23">
        <v>0</v>
      </c>
      <c r="G23">
        <v>0</v>
      </c>
      <c r="H23">
        <v>0</v>
      </c>
    </row>
    <row r="24" spans="1:8" x14ac:dyDescent="0.35">
      <c r="A24" t="s">
        <v>222</v>
      </c>
      <c r="B24">
        <v>150</v>
      </c>
      <c r="C24">
        <v>0</v>
      </c>
      <c r="D24">
        <v>168</v>
      </c>
      <c r="E24">
        <v>36</v>
      </c>
      <c r="F24">
        <v>0</v>
      </c>
      <c r="G24">
        <v>0</v>
      </c>
      <c r="H24">
        <v>0</v>
      </c>
    </row>
    <row r="25" spans="1:8" x14ac:dyDescent="0.35">
      <c r="A25" t="s">
        <v>223</v>
      </c>
      <c r="B25">
        <v>150</v>
      </c>
      <c r="C25">
        <v>0</v>
      </c>
      <c r="D25">
        <v>168</v>
      </c>
      <c r="E25">
        <v>93</v>
      </c>
      <c r="F25">
        <v>0</v>
      </c>
      <c r="G25">
        <v>0</v>
      </c>
      <c r="H25">
        <v>0</v>
      </c>
    </row>
    <row r="26" spans="1:8" x14ac:dyDescent="0.35">
      <c r="A26" t="s">
        <v>224</v>
      </c>
      <c r="B26">
        <v>0</v>
      </c>
      <c r="C26">
        <v>0</v>
      </c>
      <c r="D26">
        <v>168</v>
      </c>
      <c r="E26">
        <v>36</v>
      </c>
      <c r="F26">
        <v>0</v>
      </c>
      <c r="G26">
        <v>0</v>
      </c>
      <c r="H26">
        <v>0</v>
      </c>
    </row>
    <row r="27" spans="1:8" x14ac:dyDescent="0.35">
      <c r="A27" t="s">
        <v>225</v>
      </c>
      <c r="B27">
        <v>150</v>
      </c>
      <c r="C27">
        <v>0</v>
      </c>
      <c r="D27">
        <v>168</v>
      </c>
      <c r="E27">
        <v>36</v>
      </c>
      <c r="F27">
        <v>0</v>
      </c>
      <c r="G27">
        <v>0</v>
      </c>
      <c r="H27">
        <v>0</v>
      </c>
    </row>
    <row r="28" spans="1:8" x14ac:dyDescent="0.35">
      <c r="A28" t="s">
        <v>226</v>
      </c>
      <c r="B28">
        <v>150</v>
      </c>
      <c r="C28">
        <v>0</v>
      </c>
      <c r="D28">
        <v>168</v>
      </c>
      <c r="E28">
        <v>36</v>
      </c>
      <c r="F28">
        <v>0</v>
      </c>
      <c r="G28">
        <v>0</v>
      </c>
      <c r="H28">
        <v>0</v>
      </c>
    </row>
    <row r="29" spans="1:8" x14ac:dyDescent="0.35">
      <c r="A29" t="s">
        <v>227</v>
      </c>
      <c r="B29">
        <v>150</v>
      </c>
      <c r="C29">
        <v>0</v>
      </c>
      <c r="D29">
        <v>168</v>
      </c>
      <c r="E29">
        <v>36</v>
      </c>
      <c r="F29">
        <v>0</v>
      </c>
      <c r="G29">
        <v>0</v>
      </c>
      <c r="H29">
        <v>0</v>
      </c>
    </row>
    <row r="30" spans="1:8" x14ac:dyDescent="0.35">
      <c r="A30" t="s">
        <v>228</v>
      </c>
      <c r="B30">
        <v>150</v>
      </c>
      <c r="C30">
        <v>0</v>
      </c>
      <c r="D30">
        <v>168</v>
      </c>
      <c r="E30">
        <v>36</v>
      </c>
      <c r="F30">
        <v>0</v>
      </c>
      <c r="G30">
        <v>0</v>
      </c>
      <c r="H30">
        <v>0</v>
      </c>
    </row>
    <row r="31" spans="1:8" x14ac:dyDescent="0.35">
      <c r="A31" t="s">
        <v>229</v>
      </c>
      <c r="B31">
        <v>150</v>
      </c>
      <c r="C31">
        <v>0</v>
      </c>
      <c r="D31">
        <v>168</v>
      </c>
      <c r="E31">
        <v>36</v>
      </c>
      <c r="F31">
        <v>0</v>
      </c>
      <c r="G31">
        <v>0</v>
      </c>
      <c r="H31">
        <v>0</v>
      </c>
    </row>
    <row r="32" spans="1:8" x14ac:dyDescent="0.35">
      <c r="A32" t="s">
        <v>230</v>
      </c>
      <c r="B32">
        <v>150</v>
      </c>
      <c r="C32">
        <v>0</v>
      </c>
      <c r="D32">
        <v>168</v>
      </c>
      <c r="E32">
        <v>36</v>
      </c>
      <c r="F32">
        <v>0</v>
      </c>
      <c r="G32">
        <v>0</v>
      </c>
      <c r="H32">
        <v>0</v>
      </c>
    </row>
    <row r="33" spans="1:8" x14ac:dyDescent="0.35">
      <c r="A33" t="s">
        <v>231</v>
      </c>
      <c r="B33">
        <v>150</v>
      </c>
      <c r="C33">
        <v>0</v>
      </c>
      <c r="D33">
        <v>168</v>
      </c>
      <c r="E33">
        <v>36</v>
      </c>
      <c r="F33">
        <v>0</v>
      </c>
      <c r="G33">
        <v>0</v>
      </c>
      <c r="H33">
        <v>0</v>
      </c>
    </row>
    <row r="34" spans="1:8" x14ac:dyDescent="0.35">
      <c r="A34" t="s">
        <v>232</v>
      </c>
      <c r="B34">
        <v>150</v>
      </c>
      <c r="C34">
        <v>0</v>
      </c>
      <c r="D34">
        <v>168</v>
      </c>
      <c r="E34">
        <v>36</v>
      </c>
      <c r="F34">
        <v>0</v>
      </c>
      <c r="G34">
        <v>0</v>
      </c>
      <c r="H34">
        <v>0</v>
      </c>
    </row>
    <row r="35" spans="1:8" x14ac:dyDescent="0.35">
      <c r="A35" t="s">
        <v>233</v>
      </c>
      <c r="B35">
        <v>150</v>
      </c>
      <c r="C35">
        <v>0</v>
      </c>
      <c r="D35">
        <v>140</v>
      </c>
      <c r="E35">
        <v>0</v>
      </c>
      <c r="F35">
        <v>0</v>
      </c>
      <c r="G35">
        <v>0</v>
      </c>
      <c r="H35">
        <v>0</v>
      </c>
    </row>
    <row r="36" spans="1:8" x14ac:dyDescent="0.35">
      <c r="A36" t="s">
        <v>234</v>
      </c>
      <c r="B36">
        <v>150</v>
      </c>
      <c r="C36">
        <v>0</v>
      </c>
      <c r="D36">
        <v>0</v>
      </c>
      <c r="E36">
        <v>0</v>
      </c>
      <c r="F36">
        <v>0</v>
      </c>
      <c r="G36">
        <v>0</v>
      </c>
      <c r="H36">
        <v>0</v>
      </c>
    </row>
    <row r="37" spans="1:8" x14ac:dyDescent="0.35">
      <c r="A37" t="s">
        <v>235</v>
      </c>
      <c r="B37">
        <v>150</v>
      </c>
      <c r="C37">
        <v>0</v>
      </c>
      <c r="D37">
        <v>0</v>
      </c>
      <c r="E37">
        <v>0</v>
      </c>
      <c r="F37">
        <v>0</v>
      </c>
      <c r="G37">
        <v>0</v>
      </c>
      <c r="H37">
        <v>0</v>
      </c>
    </row>
    <row r="38" spans="1:8" x14ac:dyDescent="0.35">
      <c r="A38" t="s">
        <v>236</v>
      </c>
      <c r="B38">
        <v>150</v>
      </c>
      <c r="C38">
        <v>0</v>
      </c>
      <c r="D38">
        <v>0</v>
      </c>
      <c r="E38">
        <v>0</v>
      </c>
      <c r="F38">
        <v>0</v>
      </c>
      <c r="G38">
        <v>0</v>
      </c>
      <c r="H38">
        <v>0</v>
      </c>
    </row>
    <row r="39" spans="1:8" x14ac:dyDescent="0.35">
      <c r="A39" t="s">
        <v>237</v>
      </c>
      <c r="B39">
        <v>150</v>
      </c>
      <c r="C39">
        <v>0</v>
      </c>
      <c r="D39">
        <v>0</v>
      </c>
      <c r="E39">
        <v>0</v>
      </c>
      <c r="F39">
        <v>0</v>
      </c>
      <c r="G39">
        <v>0</v>
      </c>
      <c r="H39">
        <v>0</v>
      </c>
    </row>
    <row r="40" spans="1:8" x14ac:dyDescent="0.35">
      <c r="A40" t="s">
        <v>238</v>
      </c>
      <c r="B40">
        <v>150</v>
      </c>
      <c r="C40">
        <v>0</v>
      </c>
      <c r="D40">
        <v>0</v>
      </c>
      <c r="E40">
        <v>0</v>
      </c>
      <c r="F40">
        <v>0</v>
      </c>
      <c r="G40">
        <v>0</v>
      </c>
      <c r="H40">
        <v>0</v>
      </c>
    </row>
    <row r="41" spans="1:8" x14ac:dyDescent="0.35">
      <c r="A41" t="s">
        <v>239</v>
      </c>
      <c r="B41">
        <v>0</v>
      </c>
      <c r="C41">
        <v>0</v>
      </c>
      <c r="D41">
        <v>0</v>
      </c>
      <c r="E41">
        <v>0</v>
      </c>
      <c r="F41">
        <v>0</v>
      </c>
      <c r="G41">
        <v>0</v>
      </c>
      <c r="H41">
        <v>0</v>
      </c>
    </row>
    <row r="42" spans="1:8" x14ac:dyDescent="0.35">
      <c r="A42" t="s">
        <v>240</v>
      </c>
      <c r="B42">
        <v>0</v>
      </c>
      <c r="C42">
        <v>0</v>
      </c>
      <c r="D42">
        <v>0</v>
      </c>
      <c r="E42">
        <v>0</v>
      </c>
      <c r="F42">
        <v>0</v>
      </c>
      <c r="G42">
        <v>0</v>
      </c>
      <c r="H42">
        <v>0</v>
      </c>
    </row>
    <row r="43" spans="1:8" x14ac:dyDescent="0.35">
      <c r="A43" t="s">
        <v>241</v>
      </c>
      <c r="B43">
        <v>0</v>
      </c>
      <c r="C43">
        <v>0</v>
      </c>
      <c r="D43">
        <v>0</v>
      </c>
      <c r="E43">
        <v>0</v>
      </c>
      <c r="F43">
        <v>0</v>
      </c>
      <c r="G43">
        <v>0</v>
      </c>
      <c r="H43">
        <v>0</v>
      </c>
    </row>
    <row r="44" spans="1:8" x14ac:dyDescent="0.35">
      <c r="A44" t="s">
        <v>242</v>
      </c>
      <c r="B44">
        <v>0</v>
      </c>
      <c r="C44">
        <v>0</v>
      </c>
      <c r="D44">
        <v>0</v>
      </c>
      <c r="E44">
        <v>0</v>
      </c>
      <c r="F44">
        <v>0</v>
      </c>
      <c r="G44">
        <v>0</v>
      </c>
      <c r="H44">
        <v>0</v>
      </c>
    </row>
    <row r="45" spans="1:8" x14ac:dyDescent="0.35">
      <c r="A45" t="s">
        <v>243</v>
      </c>
      <c r="B45">
        <v>0</v>
      </c>
      <c r="C45">
        <v>0</v>
      </c>
      <c r="D45">
        <v>0</v>
      </c>
      <c r="E45">
        <v>0</v>
      </c>
      <c r="F45">
        <v>0</v>
      </c>
      <c r="G45">
        <v>0</v>
      </c>
      <c r="H45">
        <v>0</v>
      </c>
    </row>
    <row r="46" spans="1:8" x14ac:dyDescent="0.35">
      <c r="A46" t="s">
        <v>244</v>
      </c>
      <c r="B46">
        <v>0</v>
      </c>
      <c r="C46">
        <v>0</v>
      </c>
      <c r="D46">
        <v>0</v>
      </c>
      <c r="E46">
        <v>0</v>
      </c>
      <c r="F46">
        <v>0</v>
      </c>
      <c r="G46">
        <v>0</v>
      </c>
      <c r="H46">
        <v>0</v>
      </c>
    </row>
    <row r="47" spans="1:8" x14ac:dyDescent="0.35">
      <c r="A47" t="s">
        <v>245</v>
      </c>
      <c r="B47">
        <v>0</v>
      </c>
      <c r="C47">
        <v>0</v>
      </c>
      <c r="D47">
        <v>0</v>
      </c>
      <c r="E47">
        <v>0</v>
      </c>
      <c r="F47">
        <v>0</v>
      </c>
      <c r="G47">
        <v>0</v>
      </c>
      <c r="H47">
        <v>0</v>
      </c>
    </row>
    <row r="48" spans="1:8" x14ac:dyDescent="0.35">
      <c r="A48" t="s">
        <v>246</v>
      </c>
      <c r="B48">
        <v>0</v>
      </c>
      <c r="C48">
        <v>0</v>
      </c>
      <c r="D48">
        <v>0</v>
      </c>
      <c r="E48">
        <v>0</v>
      </c>
      <c r="F48">
        <v>0</v>
      </c>
      <c r="G48">
        <v>0</v>
      </c>
      <c r="H48">
        <v>0</v>
      </c>
    </row>
    <row r="49" spans="1:8" x14ac:dyDescent="0.35">
      <c r="A49" t="s">
        <v>247</v>
      </c>
      <c r="B49">
        <v>0</v>
      </c>
      <c r="C49">
        <v>0</v>
      </c>
      <c r="D49">
        <v>0</v>
      </c>
      <c r="E49">
        <v>0</v>
      </c>
      <c r="F49">
        <v>0</v>
      </c>
      <c r="G49">
        <v>0</v>
      </c>
      <c r="H49">
        <v>0</v>
      </c>
    </row>
    <row r="50" spans="1:8" x14ac:dyDescent="0.35">
      <c r="A50" t="s">
        <v>248</v>
      </c>
      <c r="B50">
        <v>0</v>
      </c>
      <c r="C50">
        <v>0</v>
      </c>
      <c r="D50">
        <v>0</v>
      </c>
      <c r="E50">
        <v>0</v>
      </c>
      <c r="F50">
        <v>0</v>
      </c>
      <c r="G50">
        <v>0</v>
      </c>
      <c r="H50">
        <v>0</v>
      </c>
    </row>
    <row r="51" spans="1:8" x14ac:dyDescent="0.35">
      <c r="A51" t="s">
        <v>249</v>
      </c>
      <c r="B51">
        <v>0</v>
      </c>
      <c r="C51">
        <v>0</v>
      </c>
      <c r="D51">
        <v>0</v>
      </c>
      <c r="E51">
        <v>0</v>
      </c>
      <c r="F51">
        <v>0</v>
      </c>
      <c r="G51">
        <v>0</v>
      </c>
      <c r="H51">
        <v>0</v>
      </c>
    </row>
    <row r="52" spans="1:8" x14ac:dyDescent="0.35">
      <c r="A52" t="s">
        <v>250</v>
      </c>
      <c r="B52">
        <v>0</v>
      </c>
      <c r="C52">
        <v>0</v>
      </c>
      <c r="D52">
        <v>0</v>
      </c>
      <c r="E52">
        <v>0</v>
      </c>
      <c r="F52">
        <v>0</v>
      </c>
      <c r="G52">
        <v>0</v>
      </c>
      <c r="H52">
        <v>0</v>
      </c>
    </row>
    <row r="53" spans="1:8" x14ac:dyDescent="0.35">
      <c r="A53" t="s">
        <v>251</v>
      </c>
      <c r="B53">
        <v>0</v>
      </c>
      <c r="C53">
        <v>0</v>
      </c>
      <c r="D53">
        <v>0</v>
      </c>
      <c r="E53">
        <v>0</v>
      </c>
      <c r="F53">
        <v>0</v>
      </c>
      <c r="G53">
        <v>0</v>
      </c>
      <c r="H53">
        <v>0</v>
      </c>
    </row>
    <row r="54" spans="1:8" x14ac:dyDescent="0.35">
      <c r="A54" t="s">
        <v>252</v>
      </c>
      <c r="B54">
        <v>0</v>
      </c>
      <c r="C54">
        <v>0</v>
      </c>
      <c r="D54">
        <v>0</v>
      </c>
      <c r="E54">
        <v>0</v>
      </c>
      <c r="F54">
        <v>0</v>
      </c>
      <c r="G54">
        <v>0</v>
      </c>
      <c r="H54">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D8" sqref="D8"/>
    </sheetView>
  </sheetViews>
  <sheetFormatPr defaultRowHeight="14.5" x14ac:dyDescent="0.35"/>
  <cols>
    <col min="1" max="2" width="8.7265625" style="173"/>
    <col min="3" max="3" width="6.26953125" style="173" bestFit="1" customWidth="1"/>
    <col min="4" max="4" width="9.36328125" style="173" bestFit="1" customWidth="1"/>
    <col min="5" max="5" width="17.453125" style="173" bestFit="1" customWidth="1"/>
    <col min="6" max="6" width="7.36328125" style="173" customWidth="1"/>
    <col min="7" max="7" width="24" style="173" bestFit="1" customWidth="1"/>
    <col min="8" max="8" width="9.90625" bestFit="1" customWidth="1"/>
  </cols>
  <sheetData>
    <row r="1" spans="1:8" ht="15" thickBot="1" x14ac:dyDescent="0.4">
      <c r="A1" s="180" t="s">
        <v>26</v>
      </c>
      <c r="B1" s="181" t="s">
        <v>70</v>
      </c>
      <c r="C1" s="181" t="s">
        <v>103</v>
      </c>
      <c r="D1" s="181" t="s">
        <v>53</v>
      </c>
      <c r="E1" s="181" t="s">
        <v>36</v>
      </c>
      <c r="F1" s="181" t="s">
        <v>42</v>
      </c>
      <c r="G1" s="181" t="s">
        <v>67</v>
      </c>
      <c r="H1" s="9" t="s">
        <v>94</v>
      </c>
    </row>
    <row r="2" spans="1:8" x14ac:dyDescent="0.35">
      <c r="A2" s="161">
        <v>1</v>
      </c>
      <c r="B2" s="178" t="s">
        <v>69</v>
      </c>
      <c r="C2" s="32">
        <v>1</v>
      </c>
      <c r="D2" s="178" t="s">
        <v>2</v>
      </c>
      <c r="E2" s="178" t="s">
        <v>37</v>
      </c>
      <c r="F2" s="178" t="s">
        <v>43</v>
      </c>
      <c r="G2" s="179" t="s">
        <v>15</v>
      </c>
      <c r="H2" s="35" t="s">
        <v>25</v>
      </c>
    </row>
    <row r="3" spans="1:8" x14ac:dyDescent="0.35">
      <c r="A3" s="30">
        <v>2</v>
      </c>
      <c r="B3" s="32" t="s">
        <v>71</v>
      </c>
      <c r="C3" s="32">
        <v>2</v>
      </c>
      <c r="D3" s="32" t="s">
        <v>0</v>
      </c>
      <c r="E3" s="32" t="s">
        <v>44</v>
      </c>
      <c r="F3" s="32" t="s">
        <v>45</v>
      </c>
      <c r="G3" s="176" t="s">
        <v>14</v>
      </c>
      <c r="H3" s="31" t="s">
        <v>24</v>
      </c>
    </row>
    <row r="4" spans="1:8" x14ac:dyDescent="0.35">
      <c r="A4" s="30">
        <v>3</v>
      </c>
      <c r="B4" s="32" t="s">
        <v>72</v>
      </c>
      <c r="C4" s="32">
        <v>3</v>
      </c>
      <c r="D4" s="32" t="s">
        <v>3</v>
      </c>
      <c r="E4" s="32"/>
      <c r="F4" s="32" t="s">
        <v>39</v>
      </c>
      <c r="G4" s="176" t="s">
        <v>19</v>
      </c>
      <c r="H4" s="31" t="s">
        <v>95</v>
      </c>
    </row>
    <row r="5" spans="1:8" x14ac:dyDescent="0.35">
      <c r="A5" s="30">
        <v>4</v>
      </c>
      <c r="B5" s="32" t="s">
        <v>75</v>
      </c>
      <c r="C5" s="33" t="s">
        <v>99</v>
      </c>
      <c r="D5" s="32"/>
      <c r="E5" s="32"/>
      <c r="F5" s="32" t="s">
        <v>46</v>
      </c>
      <c r="G5" s="176" t="s">
        <v>104</v>
      </c>
      <c r="H5" s="31" t="s">
        <v>173</v>
      </c>
    </row>
    <row r="6" spans="1:8" x14ac:dyDescent="0.35">
      <c r="A6" s="30"/>
      <c r="B6" s="32" t="s">
        <v>73</v>
      </c>
      <c r="C6" s="33"/>
      <c r="D6" s="32"/>
      <c r="E6" s="32"/>
      <c r="F6" s="32" t="s">
        <v>47</v>
      </c>
      <c r="G6" s="176" t="s">
        <v>105</v>
      </c>
      <c r="H6" s="31" t="s">
        <v>174</v>
      </c>
    </row>
    <row r="7" spans="1:8" x14ac:dyDescent="0.35">
      <c r="A7" s="30"/>
      <c r="B7" s="32" t="s">
        <v>74</v>
      </c>
      <c r="C7" s="33"/>
      <c r="D7" s="32"/>
      <c r="E7" s="32"/>
      <c r="F7" s="32" t="s">
        <v>48</v>
      </c>
      <c r="G7" s="176" t="s">
        <v>17</v>
      </c>
      <c r="H7" s="31" t="s">
        <v>175</v>
      </c>
    </row>
    <row r="8" spans="1:8" ht="15" customHeight="1" x14ac:dyDescent="0.35">
      <c r="A8" s="30"/>
      <c r="B8" s="32" t="s">
        <v>1</v>
      </c>
      <c r="C8" s="33"/>
      <c r="D8" s="32"/>
      <c r="E8" s="32"/>
      <c r="F8" s="32" t="s">
        <v>49</v>
      </c>
      <c r="G8" s="176" t="s">
        <v>106</v>
      </c>
      <c r="H8" s="31" t="s">
        <v>178</v>
      </c>
    </row>
    <row r="9" spans="1:8" x14ac:dyDescent="0.35">
      <c r="A9" s="30"/>
      <c r="B9" s="32" t="s">
        <v>77</v>
      </c>
      <c r="C9" s="33"/>
      <c r="D9" s="32"/>
      <c r="E9" s="32"/>
      <c r="F9" s="32" t="s">
        <v>50</v>
      </c>
      <c r="G9" s="176" t="s">
        <v>107</v>
      </c>
      <c r="H9" s="31" t="s">
        <v>176</v>
      </c>
    </row>
    <row r="10" spans="1:8" x14ac:dyDescent="0.35">
      <c r="A10" s="30"/>
      <c r="B10" s="32" t="s">
        <v>4</v>
      </c>
      <c r="C10" s="33"/>
      <c r="D10" s="32"/>
      <c r="E10" s="32"/>
      <c r="F10" s="32"/>
      <c r="G10" s="176" t="s">
        <v>108</v>
      </c>
      <c r="H10" s="31" t="s">
        <v>177</v>
      </c>
    </row>
    <row r="11" spans="1:8" x14ac:dyDescent="0.35">
      <c r="A11" s="30"/>
      <c r="B11" s="32"/>
      <c r="C11" s="33"/>
      <c r="D11" s="32"/>
      <c r="E11" s="32"/>
      <c r="F11" s="32"/>
      <c r="G11" s="176" t="s">
        <v>109</v>
      </c>
      <c r="H11" s="31"/>
    </row>
    <row r="12" spans="1:8" ht="15" customHeight="1" x14ac:dyDescent="0.35">
      <c r="A12" s="30"/>
      <c r="B12" s="32"/>
      <c r="C12" s="33"/>
      <c r="D12" s="32"/>
      <c r="E12" s="32"/>
      <c r="F12" s="32"/>
      <c r="G12" s="176" t="s">
        <v>110</v>
      </c>
      <c r="H12" s="31"/>
    </row>
    <row r="13" spans="1:8" x14ac:dyDescent="0.35">
      <c r="A13" s="30"/>
      <c r="B13" s="32"/>
      <c r="C13" s="33"/>
      <c r="D13" s="32"/>
      <c r="E13" s="32"/>
      <c r="F13" s="32"/>
      <c r="G13" s="176" t="s">
        <v>111</v>
      </c>
      <c r="H13" s="31"/>
    </row>
    <row r="14" spans="1:8" x14ac:dyDescent="0.35">
      <c r="A14" s="30"/>
      <c r="B14" s="32"/>
      <c r="C14" s="32"/>
      <c r="D14" s="32"/>
      <c r="E14" s="32"/>
      <c r="F14" s="32"/>
      <c r="G14" s="176" t="s">
        <v>112</v>
      </c>
      <c r="H14" s="10"/>
    </row>
    <row r="15" spans="1:8" x14ac:dyDescent="0.35">
      <c r="A15" s="30"/>
      <c r="B15" s="32"/>
      <c r="C15" s="32"/>
      <c r="D15" s="32"/>
      <c r="E15" s="32"/>
      <c r="F15" s="32"/>
      <c r="G15" s="176" t="s">
        <v>113</v>
      </c>
      <c r="H15" s="31"/>
    </row>
    <row r="16" spans="1:8" x14ac:dyDescent="0.35">
      <c r="A16" s="30"/>
      <c r="B16" s="32"/>
      <c r="C16" s="32"/>
      <c r="D16" s="32"/>
      <c r="E16" s="32"/>
      <c r="F16" s="32"/>
      <c r="G16" s="176" t="s">
        <v>114</v>
      </c>
      <c r="H16" s="10"/>
    </row>
    <row r="17" spans="1:8" x14ac:dyDescent="0.35">
      <c r="A17" s="30"/>
      <c r="B17" s="32"/>
      <c r="C17" s="32"/>
      <c r="D17" s="32"/>
      <c r="E17" s="32"/>
      <c r="F17" s="32"/>
      <c r="G17" s="176" t="s">
        <v>20</v>
      </c>
      <c r="H17" s="10"/>
    </row>
    <row r="18" spans="1:8" x14ac:dyDescent="0.35">
      <c r="A18" s="30"/>
      <c r="B18" s="32"/>
      <c r="C18" s="32"/>
      <c r="D18" s="32"/>
      <c r="E18" s="32"/>
      <c r="F18" s="32"/>
      <c r="G18" s="176" t="s">
        <v>115</v>
      </c>
      <c r="H18" s="10"/>
    </row>
    <row r="19" spans="1:8" x14ac:dyDescent="0.35">
      <c r="A19" s="30"/>
      <c r="B19" s="32"/>
      <c r="C19" s="32"/>
      <c r="D19" s="32"/>
      <c r="E19" s="32"/>
      <c r="F19" s="32"/>
      <c r="G19" s="176" t="s">
        <v>116</v>
      </c>
      <c r="H19" s="10"/>
    </row>
    <row r="20" spans="1:8" x14ac:dyDescent="0.35">
      <c r="A20" s="30"/>
      <c r="B20" s="32"/>
      <c r="C20" s="32"/>
      <c r="D20" s="32"/>
      <c r="E20" s="32"/>
      <c r="F20" s="32"/>
      <c r="G20" s="176" t="s">
        <v>117</v>
      </c>
      <c r="H20" s="10"/>
    </row>
    <row r="21" spans="1:8" x14ac:dyDescent="0.35">
      <c r="A21" s="30"/>
      <c r="B21" s="32"/>
      <c r="C21" s="32"/>
      <c r="D21" s="32"/>
      <c r="E21" s="32"/>
      <c r="F21" s="32"/>
      <c r="G21" s="176" t="s">
        <v>118</v>
      </c>
      <c r="H21" s="10"/>
    </row>
    <row r="22" spans="1:8" x14ac:dyDescent="0.35">
      <c r="A22" s="30"/>
      <c r="B22" s="32"/>
      <c r="C22" s="32"/>
      <c r="D22" s="32"/>
      <c r="E22" s="32"/>
      <c r="F22" s="32"/>
      <c r="G22" s="176" t="s">
        <v>119</v>
      </c>
      <c r="H22" s="10"/>
    </row>
    <row r="23" spans="1:8" x14ac:dyDescent="0.35">
      <c r="A23" s="30"/>
      <c r="B23" s="32"/>
      <c r="C23" s="32"/>
      <c r="D23" s="32"/>
      <c r="E23" s="32"/>
      <c r="F23" s="32"/>
      <c r="G23" s="176" t="s">
        <v>120</v>
      </c>
      <c r="H23" s="10"/>
    </row>
    <row r="24" spans="1:8" x14ac:dyDescent="0.35">
      <c r="A24" s="30"/>
      <c r="B24" s="32"/>
      <c r="C24" s="32"/>
      <c r="D24" s="32"/>
      <c r="E24" s="32"/>
      <c r="F24" s="32"/>
      <c r="G24" s="176" t="s">
        <v>121</v>
      </c>
      <c r="H24" s="10"/>
    </row>
    <row r="25" spans="1:8" x14ac:dyDescent="0.35">
      <c r="A25" s="30"/>
      <c r="B25" s="32"/>
      <c r="C25" s="32"/>
      <c r="D25" s="32"/>
      <c r="E25" s="32"/>
      <c r="F25" s="32"/>
      <c r="G25" s="176" t="s">
        <v>122</v>
      </c>
      <c r="H25" s="10"/>
    </row>
    <row r="26" spans="1:8" x14ac:dyDescent="0.35">
      <c r="A26" s="30"/>
      <c r="B26" s="32"/>
      <c r="C26" s="32"/>
      <c r="D26" s="32"/>
      <c r="E26" s="32"/>
      <c r="F26" s="32"/>
      <c r="G26" s="176" t="s">
        <v>16</v>
      </c>
      <c r="H26" s="10"/>
    </row>
    <row r="27" spans="1:8" x14ac:dyDescent="0.35">
      <c r="A27" s="30"/>
      <c r="B27" s="32"/>
      <c r="C27" s="32"/>
      <c r="D27" s="32"/>
      <c r="E27" s="32"/>
      <c r="F27" s="32"/>
      <c r="G27" s="176" t="s">
        <v>123</v>
      </c>
      <c r="H27" s="10"/>
    </row>
    <row r="28" spans="1:8" x14ac:dyDescent="0.35">
      <c r="A28" s="30"/>
      <c r="B28" s="32"/>
      <c r="C28" s="32"/>
      <c r="D28" s="32"/>
      <c r="E28" s="32"/>
      <c r="F28" s="32"/>
      <c r="G28" s="176" t="s">
        <v>18</v>
      </c>
      <c r="H28" s="10"/>
    </row>
    <row r="29" spans="1:8" x14ac:dyDescent="0.35">
      <c r="A29" s="30"/>
      <c r="B29" s="32"/>
      <c r="C29" s="32"/>
      <c r="D29" s="32"/>
      <c r="E29" s="32"/>
      <c r="F29" s="32"/>
      <c r="G29" s="176" t="s">
        <v>124</v>
      </c>
      <c r="H29" s="10"/>
    </row>
    <row r="30" spans="1:8" x14ac:dyDescent="0.35">
      <c r="A30" s="30"/>
      <c r="B30" s="32"/>
      <c r="C30" s="32"/>
      <c r="D30" s="32"/>
      <c r="E30" s="32"/>
      <c r="F30" s="32"/>
      <c r="G30" s="176" t="s">
        <v>125</v>
      </c>
      <c r="H30" s="10"/>
    </row>
    <row r="31" spans="1:8" x14ac:dyDescent="0.35">
      <c r="A31" s="30"/>
      <c r="B31" s="32"/>
      <c r="C31" s="32"/>
      <c r="D31" s="32"/>
      <c r="E31" s="32"/>
      <c r="F31" s="32"/>
      <c r="G31" s="176" t="s">
        <v>126</v>
      </c>
      <c r="H31" s="10"/>
    </row>
    <row r="32" spans="1:8" x14ac:dyDescent="0.35">
      <c r="A32" s="30"/>
      <c r="B32" s="32"/>
      <c r="C32" s="32"/>
      <c r="D32" s="32"/>
      <c r="E32" s="32"/>
      <c r="F32" s="32"/>
      <c r="G32" s="176" t="s">
        <v>127</v>
      </c>
      <c r="H32" s="10"/>
    </row>
    <row r="33" spans="1:8" x14ac:dyDescent="0.35">
      <c r="A33" s="30"/>
      <c r="B33" s="32"/>
      <c r="C33" s="32"/>
      <c r="D33" s="32"/>
      <c r="E33" s="32"/>
      <c r="F33" s="32"/>
      <c r="G33" s="176" t="s">
        <v>128</v>
      </c>
      <c r="H33" s="10"/>
    </row>
    <row r="34" spans="1:8" x14ac:dyDescent="0.35">
      <c r="A34" s="30"/>
      <c r="B34" s="32"/>
      <c r="C34" s="32"/>
      <c r="D34" s="32"/>
      <c r="E34" s="32"/>
      <c r="F34" s="32"/>
      <c r="G34" s="176" t="s">
        <v>129</v>
      </c>
      <c r="H34" s="10"/>
    </row>
    <row r="35" spans="1:8" x14ac:dyDescent="0.35">
      <c r="A35" s="30"/>
      <c r="B35" s="32"/>
      <c r="C35" s="32"/>
      <c r="D35" s="32"/>
      <c r="E35" s="32"/>
      <c r="F35" s="32"/>
      <c r="G35" s="176" t="s">
        <v>130</v>
      </c>
      <c r="H35" s="10"/>
    </row>
    <row r="36" spans="1:8" x14ac:dyDescent="0.35">
      <c r="A36" s="30"/>
      <c r="B36" s="32"/>
      <c r="C36" s="32"/>
      <c r="D36" s="32"/>
      <c r="E36" s="32"/>
      <c r="F36" s="32"/>
      <c r="G36" s="176" t="s">
        <v>131</v>
      </c>
      <c r="H36" s="10"/>
    </row>
    <row r="37" spans="1:8" x14ac:dyDescent="0.35">
      <c r="A37" s="30"/>
      <c r="B37" s="32"/>
      <c r="C37" s="32"/>
      <c r="D37" s="32"/>
      <c r="E37" s="32"/>
      <c r="F37" s="32"/>
      <c r="G37" s="176" t="s">
        <v>132</v>
      </c>
      <c r="H37" s="10"/>
    </row>
    <row r="38" spans="1:8" x14ac:dyDescent="0.35">
      <c r="A38" s="30"/>
      <c r="B38" s="32"/>
      <c r="C38" s="32"/>
      <c r="D38" s="32"/>
      <c r="E38" s="32"/>
      <c r="F38" s="32"/>
      <c r="G38" s="176" t="s">
        <v>133</v>
      </c>
      <c r="H38" s="10"/>
    </row>
    <row r="39" spans="1:8" x14ac:dyDescent="0.35">
      <c r="A39" s="30"/>
      <c r="B39" s="32"/>
      <c r="C39" s="32"/>
      <c r="D39" s="32"/>
      <c r="E39" s="32"/>
      <c r="F39" s="32"/>
      <c r="G39" s="176" t="s">
        <v>134</v>
      </c>
      <c r="H39" s="10"/>
    </row>
    <row r="40" spans="1:8" x14ac:dyDescent="0.35">
      <c r="A40" s="30"/>
      <c r="B40" s="32"/>
      <c r="C40" s="32"/>
      <c r="D40" s="32"/>
      <c r="E40" s="32"/>
      <c r="F40" s="32"/>
      <c r="G40" s="176" t="s">
        <v>135</v>
      </c>
      <c r="H40" s="10"/>
    </row>
    <row r="41" spans="1:8" x14ac:dyDescent="0.35">
      <c r="A41" s="30"/>
      <c r="B41" s="32"/>
      <c r="C41" s="32"/>
      <c r="D41" s="32"/>
      <c r="E41" s="32"/>
      <c r="F41" s="32"/>
      <c r="G41" s="176" t="s">
        <v>136</v>
      </c>
      <c r="H41" s="10"/>
    </row>
    <row r="42" spans="1:8" x14ac:dyDescent="0.35">
      <c r="A42" s="30"/>
      <c r="B42" s="32"/>
      <c r="C42" s="32"/>
      <c r="D42" s="32"/>
      <c r="E42" s="32"/>
      <c r="F42" s="32"/>
      <c r="G42" s="176" t="s">
        <v>137</v>
      </c>
      <c r="H42" s="10"/>
    </row>
    <row r="43" spans="1:8" x14ac:dyDescent="0.35">
      <c r="A43" s="30"/>
      <c r="B43" s="32"/>
      <c r="C43" s="32"/>
      <c r="D43" s="32"/>
      <c r="E43" s="32"/>
      <c r="F43" s="32"/>
      <c r="G43" s="176" t="s">
        <v>138</v>
      </c>
      <c r="H43" s="10"/>
    </row>
    <row r="44" spans="1:8" x14ac:dyDescent="0.35">
      <c r="A44" s="30"/>
      <c r="B44" s="32"/>
      <c r="C44" s="32"/>
      <c r="D44" s="32"/>
      <c r="E44" s="32"/>
      <c r="F44" s="32"/>
      <c r="G44" s="176" t="s">
        <v>139</v>
      </c>
      <c r="H44" s="10"/>
    </row>
    <row r="45" spans="1:8" x14ac:dyDescent="0.35">
      <c r="A45" s="30"/>
      <c r="B45" s="32"/>
      <c r="C45" s="32"/>
      <c r="D45" s="32"/>
      <c r="E45" s="32"/>
      <c r="F45" s="32"/>
      <c r="G45" s="176" t="s">
        <v>140</v>
      </c>
      <c r="H45" s="10"/>
    </row>
    <row r="46" spans="1:8" x14ac:dyDescent="0.35">
      <c r="A46" s="30"/>
      <c r="B46" s="32"/>
      <c r="C46" s="32"/>
      <c r="D46" s="32"/>
      <c r="E46" s="32"/>
      <c r="F46" s="32"/>
      <c r="G46" s="176" t="s">
        <v>141</v>
      </c>
      <c r="H46" s="10"/>
    </row>
    <row r="47" spans="1:8" x14ac:dyDescent="0.35">
      <c r="A47" s="30"/>
      <c r="B47" s="32"/>
      <c r="C47" s="32"/>
      <c r="D47" s="32"/>
      <c r="E47" s="32"/>
      <c r="F47" s="32"/>
      <c r="G47" s="176" t="s">
        <v>142</v>
      </c>
      <c r="H47" s="10"/>
    </row>
    <row r="48" spans="1:8" x14ac:dyDescent="0.35">
      <c r="A48" s="30"/>
      <c r="B48" s="32"/>
      <c r="C48" s="32"/>
      <c r="D48" s="32"/>
      <c r="E48" s="32"/>
      <c r="F48" s="32"/>
      <c r="G48" s="176" t="s">
        <v>21</v>
      </c>
      <c r="H48" s="10"/>
    </row>
    <row r="49" spans="1:8" x14ac:dyDescent="0.35">
      <c r="A49" s="30"/>
      <c r="B49" s="32"/>
      <c r="C49" s="32"/>
      <c r="D49" s="32"/>
      <c r="E49" s="32"/>
      <c r="F49" s="32"/>
      <c r="G49" s="176" t="s">
        <v>143</v>
      </c>
      <c r="H49" s="10"/>
    </row>
    <row r="50" spans="1:8" x14ac:dyDescent="0.35">
      <c r="A50" s="30"/>
      <c r="B50" s="32"/>
      <c r="C50" s="32"/>
      <c r="D50" s="32"/>
      <c r="E50" s="32"/>
      <c r="F50" s="32"/>
      <c r="G50" s="176" t="s">
        <v>144</v>
      </c>
      <c r="H50" s="10"/>
    </row>
    <row r="51" spans="1:8" x14ac:dyDescent="0.35">
      <c r="A51" s="30"/>
      <c r="B51" s="32"/>
      <c r="C51" s="32"/>
      <c r="D51" s="32"/>
      <c r="E51" s="32"/>
      <c r="F51" s="32"/>
      <c r="G51" s="176" t="s">
        <v>145</v>
      </c>
      <c r="H51" s="10"/>
    </row>
    <row r="52" spans="1:8" x14ac:dyDescent="0.35">
      <c r="A52" s="30"/>
      <c r="B52" s="32"/>
      <c r="C52" s="32"/>
      <c r="D52" s="32"/>
      <c r="E52" s="32"/>
      <c r="F52" s="32"/>
      <c r="G52" s="176" t="s">
        <v>146</v>
      </c>
      <c r="H52" s="10"/>
    </row>
    <row r="53" spans="1:8" x14ac:dyDescent="0.35">
      <c r="A53" s="30"/>
      <c r="B53" s="32"/>
      <c r="C53" s="32"/>
      <c r="D53" s="32"/>
      <c r="E53" s="32"/>
      <c r="F53" s="32"/>
      <c r="G53" s="176" t="s">
        <v>147</v>
      </c>
      <c r="H53" s="10"/>
    </row>
    <row r="54" spans="1:8" x14ac:dyDescent="0.35">
      <c r="A54" s="30"/>
      <c r="B54" s="32"/>
      <c r="C54" s="32"/>
      <c r="D54" s="32"/>
      <c r="E54" s="32"/>
      <c r="F54" s="32"/>
      <c r="G54" s="176" t="s">
        <v>148</v>
      </c>
      <c r="H54" s="10"/>
    </row>
    <row r="55" spans="1:8" x14ac:dyDescent="0.35">
      <c r="A55" s="30"/>
      <c r="B55" s="32"/>
      <c r="C55" s="32"/>
      <c r="D55" s="32"/>
      <c r="E55" s="32"/>
      <c r="F55" s="32"/>
      <c r="G55" s="176" t="s">
        <v>149</v>
      </c>
      <c r="H55" s="10"/>
    </row>
    <row r="56" spans="1:8" x14ac:dyDescent="0.35">
      <c r="A56" s="30"/>
      <c r="B56" s="32"/>
      <c r="C56" s="32"/>
      <c r="D56" s="32"/>
      <c r="E56" s="32"/>
      <c r="F56" s="32"/>
      <c r="G56" s="176" t="s">
        <v>150</v>
      </c>
      <c r="H56" s="10"/>
    </row>
    <row r="57" spans="1:8" x14ac:dyDescent="0.35">
      <c r="A57" s="30"/>
      <c r="B57" s="32"/>
      <c r="C57" s="32"/>
      <c r="D57" s="32"/>
      <c r="E57" s="32"/>
      <c r="F57" s="32"/>
      <c r="G57" s="176" t="s">
        <v>151</v>
      </c>
      <c r="H57" s="10"/>
    </row>
    <row r="58" spans="1:8" x14ac:dyDescent="0.35">
      <c r="A58" s="30"/>
      <c r="B58" s="32"/>
      <c r="C58" s="32"/>
      <c r="D58" s="32"/>
      <c r="E58" s="32"/>
      <c r="F58" s="32"/>
      <c r="G58" s="176" t="s">
        <v>152</v>
      </c>
      <c r="H58" s="10"/>
    </row>
    <row r="59" spans="1:8" x14ac:dyDescent="0.35">
      <c r="A59" s="30"/>
      <c r="B59" s="32"/>
      <c r="C59" s="32"/>
      <c r="D59" s="32"/>
      <c r="E59" s="32"/>
      <c r="F59" s="32"/>
      <c r="G59" s="176" t="s">
        <v>153</v>
      </c>
      <c r="H59" s="10"/>
    </row>
    <row r="60" spans="1:8" ht="15" thickBot="1" x14ac:dyDescent="0.4">
      <c r="A60" s="162"/>
      <c r="B60" s="177"/>
      <c r="C60" s="177"/>
      <c r="D60" s="177"/>
      <c r="E60" s="177"/>
      <c r="F60" s="177"/>
      <c r="G60" s="177" t="s">
        <v>66</v>
      </c>
      <c r="H60" s="34"/>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E4FED-4BBD-48A9-B6FF-39EC0A9B68F0}">
  <dimension ref="A1:D11"/>
  <sheetViews>
    <sheetView tabSelected="1" workbookViewId="0">
      <selection activeCell="J32" sqref="J32"/>
    </sheetView>
  </sheetViews>
  <sheetFormatPr defaultRowHeight="14.5" x14ac:dyDescent="0.35"/>
  <cols>
    <col min="1" max="1" width="13.54296875" bestFit="1" customWidth="1"/>
    <col min="2" max="2" width="47.453125" bestFit="1" customWidth="1"/>
  </cols>
  <sheetData>
    <row r="1" spans="1:4" x14ac:dyDescent="0.35">
      <c r="A1" t="s">
        <v>253</v>
      </c>
      <c r="B1" t="s">
        <v>254</v>
      </c>
      <c r="C1" t="s">
        <v>255</v>
      </c>
      <c r="D1" t="s">
        <v>256</v>
      </c>
    </row>
    <row r="2" spans="1:4" x14ac:dyDescent="0.35">
      <c r="A2" s="203">
        <v>46151.416666666664</v>
      </c>
      <c r="B2" t="s">
        <v>257</v>
      </c>
      <c r="C2" t="s">
        <v>15</v>
      </c>
      <c r="D2" t="s">
        <v>2</v>
      </c>
    </row>
    <row r="3" spans="1:4" x14ac:dyDescent="0.35">
      <c r="A3" s="203">
        <v>46139.458333333336</v>
      </c>
      <c r="B3" t="s">
        <v>180</v>
      </c>
      <c r="C3" t="s">
        <v>14</v>
      </c>
      <c r="D3" t="s">
        <v>0</v>
      </c>
    </row>
    <row r="4" spans="1:4" x14ac:dyDescent="0.35">
      <c r="A4" s="203">
        <v>46176.833333333336</v>
      </c>
      <c r="B4" t="s">
        <v>182</v>
      </c>
      <c r="C4" t="s">
        <v>15</v>
      </c>
      <c r="D4" t="s">
        <v>0</v>
      </c>
    </row>
    <row r="5" spans="1:4" x14ac:dyDescent="0.35">
      <c r="A5" s="203">
        <v>46179.5</v>
      </c>
      <c r="B5" t="s">
        <v>93</v>
      </c>
      <c r="C5" t="s">
        <v>21</v>
      </c>
      <c r="D5" t="s">
        <v>0</v>
      </c>
    </row>
    <row r="6" spans="1:4" x14ac:dyDescent="0.35">
      <c r="A6" s="203">
        <v>46256.458333333336</v>
      </c>
      <c r="B6" t="s">
        <v>154</v>
      </c>
      <c r="C6" t="s">
        <v>18</v>
      </c>
      <c r="D6" t="s">
        <v>0</v>
      </c>
    </row>
    <row r="7" spans="1:4" x14ac:dyDescent="0.35">
      <c r="A7" s="203">
        <v>46284.40625</v>
      </c>
      <c r="B7" t="s">
        <v>260</v>
      </c>
      <c r="C7" t="s">
        <v>15</v>
      </c>
      <c r="D7" t="s">
        <v>0</v>
      </c>
    </row>
    <row r="8" spans="1:4" x14ac:dyDescent="0.35">
      <c r="A8" s="203">
        <v>46307</v>
      </c>
      <c r="B8" t="s">
        <v>183</v>
      </c>
      <c r="C8" t="s">
        <v>14</v>
      </c>
      <c r="D8" t="s">
        <v>0</v>
      </c>
    </row>
    <row r="9" spans="1:4" x14ac:dyDescent="0.35">
      <c r="A9" s="203">
        <v>46040</v>
      </c>
      <c r="B9" t="s">
        <v>258</v>
      </c>
      <c r="C9" t="s">
        <v>17</v>
      </c>
      <c r="D9" t="s">
        <v>3</v>
      </c>
    </row>
    <row r="10" spans="1:4" x14ac:dyDescent="0.35">
      <c r="A10" s="203">
        <v>46145</v>
      </c>
      <c r="B10" t="s">
        <v>181</v>
      </c>
      <c r="C10" t="s">
        <v>151</v>
      </c>
      <c r="D10" t="s">
        <v>3</v>
      </c>
    </row>
    <row r="11" spans="1:4" x14ac:dyDescent="0.35">
      <c r="A11" s="20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9</vt:i4>
      </vt:variant>
      <vt:variant>
        <vt:lpstr>Benoemde bereiken</vt:lpstr>
      </vt:variant>
      <vt:variant>
        <vt:i4>1</vt:i4>
      </vt:variant>
    </vt:vector>
  </HeadingPairs>
  <TitlesOfParts>
    <vt:vector size="10" baseType="lpstr">
      <vt:lpstr>User_Data</vt:lpstr>
      <vt:lpstr>ATP_Conditions</vt:lpstr>
      <vt:lpstr>Race_Calendar</vt:lpstr>
      <vt:lpstr>ATP_fill</vt:lpstr>
      <vt:lpstr>ATP_Data</vt:lpstr>
      <vt:lpstr>WLC</vt:lpstr>
      <vt:lpstr>WTL</vt:lpstr>
      <vt:lpstr>Lists</vt:lpstr>
      <vt:lpstr>Races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2025-12-19T08:53:42Z</dcterms:modified>
</cp:coreProperties>
</file>