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E95B1CE3-A600-4CFF-B2C8-FBB8F7FDCFED}"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2" i="23" l="1"/>
  <c r="G55" i="20"/>
  <c r="G56" i="20"/>
  <c r="E55" i="20"/>
  <c r="E56" i="20"/>
  <c r="AA55" i="20" a="1"/>
  <c r="AA55" i="20" s="1"/>
  <c r="AB55" i="20"/>
  <c r="AD55" i="20" a="1"/>
  <c r="AD55" i="20" s="1"/>
  <c r="AE55" i="20"/>
  <c r="AG55" i="20" a="1"/>
  <c r="AG55" i="20" s="1"/>
  <c r="AH55" i="20"/>
  <c r="AJ55" i="20" a="1"/>
  <c r="AJ55" i="20" s="1"/>
  <c r="AM55" i="20" a="1"/>
  <c r="AM55" i="20" s="1"/>
  <c r="AN55" i="20"/>
  <c r="AP55" i="20" a="1"/>
  <c r="AP55" i="20" s="1"/>
  <c r="AA56" i="20" a="1"/>
  <c r="AA56" i="20" s="1"/>
  <c r="AB56" i="20"/>
  <c r="AD56" i="20" a="1"/>
  <c r="AD56" i="20" s="1"/>
  <c r="AE56" i="20"/>
  <c r="AG56" i="20" a="1"/>
  <c r="AG56" i="20" s="1"/>
  <c r="AH56" i="20"/>
  <c r="AJ56" i="20" a="1"/>
  <c r="AJ56" i="20" s="1"/>
  <c r="AK56" i="20"/>
  <c r="AM56" i="20" a="1"/>
  <c r="AM56" i="20" s="1"/>
  <c r="AN56" i="20"/>
  <c r="AP56" i="20" a="1"/>
  <c r="AP56" i="20" s="1"/>
  <c r="AA57" i="20" a="1"/>
  <c r="AA57" i="20" s="1"/>
  <c r="AB57" i="20"/>
  <c r="AD57" i="20" a="1"/>
  <c r="AD57" i="20" s="1"/>
  <c r="AE57" i="20"/>
  <c r="AG57" i="20" a="1"/>
  <c r="AG57" i="20" s="1"/>
  <c r="AH57" i="20"/>
  <c r="AJ57" i="20" a="1"/>
  <c r="AJ57" i="20" s="1"/>
  <c r="AK57" i="20"/>
  <c r="AM57" i="20" a="1"/>
  <c r="AM57" i="20" s="1"/>
  <c r="AN57" i="20"/>
  <c r="AP57" i="20" a="1"/>
  <c r="AP57" i="20" s="1"/>
  <c r="X55" i="20" a="1"/>
  <c r="X55" i="20" s="1"/>
  <c r="P55" i="20" s="1"/>
  <c r="X56" i="20" a="1"/>
  <c r="X56" i="20" s="1"/>
  <c r="P56" i="20" s="1"/>
  <c r="X57" i="20" a="1"/>
  <c r="X57" i="20" s="1"/>
  <c r="O55" i="20"/>
  <c r="O56" i="20"/>
  <c r="K55" i="20"/>
  <c r="K56" i="20"/>
  <c r="K54" i="20"/>
  <c r="A56" i="20"/>
  <c r="A57"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C5" i="23"/>
  <c r="D5" i="23" s="1"/>
  <c r="D3" i="23"/>
  <c r="V2" i="26"/>
  <c r="W2" i="26"/>
  <c r="X2" i="26"/>
  <c r="Y2" i="26"/>
  <c r="Z2" i="26"/>
  <c r="AA2" i="26"/>
  <c r="AB2" i="26"/>
  <c r="AC2" i="26"/>
  <c r="V3" i="26"/>
  <c r="W3" i="26"/>
  <c r="X3" i="26"/>
  <c r="Y3" i="26"/>
  <c r="Z3" i="26"/>
  <c r="AA3" i="26"/>
  <c r="AB3" i="26"/>
  <c r="AC3" i="26"/>
  <c r="V4" i="26"/>
  <c r="W4" i="26"/>
  <c r="X4" i="26"/>
  <c r="Y4" i="26"/>
  <c r="Z4" i="26"/>
  <c r="AA4" i="26"/>
  <c r="AB4" i="26"/>
  <c r="AC4" i="26"/>
  <c r="V5" i="26"/>
  <c r="W5" i="26"/>
  <c r="X5" i="26"/>
  <c r="Y5" i="26"/>
  <c r="Z5" i="26"/>
  <c r="AA5" i="26"/>
  <c r="AB5" i="26"/>
  <c r="AC5" i="26"/>
  <c r="V6" i="26"/>
  <c r="W6" i="26"/>
  <c r="X6" i="26"/>
  <c r="Y6" i="26"/>
  <c r="Z6" i="26"/>
  <c r="AA6" i="26"/>
  <c r="AB6" i="26"/>
  <c r="AC6" i="26"/>
  <c r="V7" i="26"/>
  <c r="W7" i="26"/>
  <c r="X7" i="26"/>
  <c r="Y7" i="26"/>
  <c r="Z7" i="26"/>
  <c r="AA7" i="26"/>
  <c r="AB7" i="26"/>
  <c r="AC7" i="26"/>
  <c r="V8" i="26"/>
  <c r="W8" i="26"/>
  <c r="X8" i="26"/>
  <c r="Y8" i="26"/>
  <c r="Z8" i="26"/>
  <c r="AA8" i="26"/>
  <c r="AB8" i="26"/>
  <c r="AC8" i="26"/>
  <c r="V9" i="26"/>
  <c r="W9" i="26"/>
  <c r="X9" i="26"/>
  <c r="Y9" i="26"/>
  <c r="Z9" i="26"/>
  <c r="AA9" i="26"/>
  <c r="AB9" i="26"/>
  <c r="AC9" i="26"/>
  <c r="V10" i="26"/>
  <c r="W10" i="26"/>
  <c r="X10" i="26"/>
  <c r="Y10" i="26"/>
  <c r="Z10" i="26"/>
  <c r="AA10" i="26"/>
  <c r="AB10" i="26"/>
  <c r="AC10" i="26"/>
  <c r="V11" i="26"/>
  <c r="W11" i="26"/>
  <c r="X11" i="26"/>
  <c r="Y11" i="26"/>
  <c r="Z11" i="26"/>
  <c r="AA11" i="26"/>
  <c r="AB11" i="26"/>
  <c r="AC11" i="26"/>
  <c r="V12" i="26"/>
  <c r="W12" i="26"/>
  <c r="X12" i="26"/>
  <c r="Y12" i="26"/>
  <c r="Z12" i="26"/>
  <c r="AA12" i="26"/>
  <c r="AB12" i="26"/>
  <c r="AC12" i="26"/>
  <c r="V13" i="26"/>
  <c r="W13" i="26"/>
  <c r="X13" i="26"/>
  <c r="Y13" i="26"/>
  <c r="Z13" i="26"/>
  <c r="AA13" i="26"/>
  <c r="AB13" i="26"/>
  <c r="AC13" i="26"/>
  <c r="V14" i="26"/>
  <c r="W14" i="26"/>
  <c r="X14" i="26"/>
  <c r="Y14" i="26"/>
  <c r="Z14" i="26"/>
  <c r="AA14" i="26"/>
  <c r="AB14" i="26"/>
  <c r="AC14" i="26"/>
  <c r="V15" i="26"/>
  <c r="W15" i="26"/>
  <c r="X15" i="26"/>
  <c r="Y15" i="26"/>
  <c r="Z15" i="26"/>
  <c r="AA15" i="26"/>
  <c r="AB15" i="26"/>
  <c r="AC15" i="26"/>
  <c r="V16" i="26"/>
  <c r="W16" i="26"/>
  <c r="X16" i="26"/>
  <c r="Y16" i="26"/>
  <c r="Z16" i="26"/>
  <c r="AA16" i="26"/>
  <c r="AB16" i="26"/>
  <c r="AC16" i="26"/>
  <c r="V17" i="26"/>
  <c r="W17" i="26"/>
  <c r="X17" i="26"/>
  <c r="Y17" i="26"/>
  <c r="Z17" i="26"/>
  <c r="AA17" i="26"/>
  <c r="AB17" i="26"/>
  <c r="AC17" i="26"/>
  <c r="V18" i="26"/>
  <c r="W18" i="26"/>
  <c r="X18" i="26"/>
  <c r="Y18" i="26"/>
  <c r="Z18" i="26"/>
  <c r="AA18" i="26"/>
  <c r="AB18" i="26"/>
  <c r="AC18" i="26"/>
  <c r="V19" i="26"/>
  <c r="W19" i="26"/>
  <c r="X19" i="26"/>
  <c r="Y19" i="26"/>
  <c r="Z19" i="26"/>
  <c r="AA19" i="26"/>
  <c r="AB19" i="26"/>
  <c r="AC19" i="26"/>
  <c r="N3" i="26"/>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N20" i="26"/>
  <c r="O20" i="26"/>
  <c r="P20" i="26"/>
  <c r="Q20" i="26"/>
  <c r="R20" i="26"/>
  <c r="S20" i="26"/>
  <c r="T20" i="26"/>
  <c r="U20" i="26"/>
  <c r="N21" i="26"/>
  <c r="O21" i="26"/>
  <c r="P21" i="26"/>
  <c r="Q21" i="26"/>
  <c r="R21" i="26"/>
  <c r="S21" i="26"/>
  <c r="T21" i="26"/>
  <c r="U21" i="26"/>
  <c r="N22" i="26"/>
  <c r="O22" i="26"/>
  <c r="P22" i="26"/>
  <c r="Q22" i="26"/>
  <c r="R22" i="26"/>
  <c r="S22" i="26"/>
  <c r="T22" i="26"/>
  <c r="U22" i="26"/>
  <c r="N23" i="26"/>
  <c r="O23" i="26"/>
  <c r="P23" i="26"/>
  <c r="Q23" i="26"/>
  <c r="R23" i="26"/>
  <c r="S23" i="26"/>
  <c r="T23" i="26"/>
  <c r="U23" i="26"/>
  <c r="N24" i="26"/>
  <c r="O24" i="26"/>
  <c r="P24" i="26"/>
  <c r="Q24" i="26"/>
  <c r="R24" i="26"/>
  <c r="S24" i="26"/>
  <c r="T24" i="26"/>
  <c r="U24" i="26"/>
  <c r="N25" i="26"/>
  <c r="O25" i="26"/>
  <c r="P25" i="26"/>
  <c r="Q25" i="26"/>
  <c r="R25" i="26"/>
  <c r="S25" i="26"/>
  <c r="T25" i="26"/>
  <c r="U25" i="26"/>
  <c r="N26" i="26"/>
  <c r="O26" i="26"/>
  <c r="P26" i="26"/>
  <c r="Q26" i="26"/>
  <c r="R26" i="26"/>
  <c r="S26" i="26"/>
  <c r="T26" i="26"/>
  <c r="U26" i="26"/>
  <c r="N27" i="26"/>
  <c r="O27" i="26"/>
  <c r="P27" i="26"/>
  <c r="Q27" i="26"/>
  <c r="R27" i="26"/>
  <c r="S27" i="26"/>
  <c r="T27" i="26"/>
  <c r="U27" i="26"/>
  <c r="N28" i="26"/>
  <c r="O28" i="26"/>
  <c r="P28" i="26"/>
  <c r="Q28" i="26"/>
  <c r="R28" i="26"/>
  <c r="S28" i="26"/>
  <c r="T28" i="26"/>
  <c r="U28" i="26"/>
  <c r="N29" i="26"/>
  <c r="O29" i="26"/>
  <c r="P29" i="26"/>
  <c r="Q29" i="26"/>
  <c r="R29" i="26"/>
  <c r="S29" i="26"/>
  <c r="T29" i="26"/>
  <c r="U29" i="26"/>
  <c r="N30" i="26"/>
  <c r="O30" i="26"/>
  <c r="P30" i="26"/>
  <c r="Q30" i="26"/>
  <c r="R30" i="26"/>
  <c r="S30" i="26"/>
  <c r="T30" i="26"/>
  <c r="U30" i="26"/>
  <c r="N31" i="26"/>
  <c r="O31" i="26"/>
  <c r="P31" i="26"/>
  <c r="Q31" i="26"/>
  <c r="R31" i="26"/>
  <c r="S31" i="26"/>
  <c r="T31" i="26"/>
  <c r="U31" i="26"/>
  <c r="N32" i="26"/>
  <c r="O32" i="26"/>
  <c r="P32" i="26"/>
  <c r="Q32" i="26"/>
  <c r="R32" i="26"/>
  <c r="S32" i="26"/>
  <c r="T32" i="26"/>
  <c r="U32" i="26"/>
  <c r="N33" i="26"/>
  <c r="O33" i="26"/>
  <c r="P33" i="26"/>
  <c r="Q33" i="26"/>
  <c r="R33" i="26"/>
  <c r="S33" i="26"/>
  <c r="T33" i="26"/>
  <c r="U33" i="26"/>
  <c r="N34" i="26"/>
  <c r="O34" i="26"/>
  <c r="P34" i="26"/>
  <c r="Q34" i="26"/>
  <c r="R34" i="26"/>
  <c r="S34" i="26"/>
  <c r="T34" i="26"/>
  <c r="U34" i="26"/>
  <c r="N35" i="26"/>
  <c r="O35" i="26"/>
  <c r="P35" i="26"/>
  <c r="Q35" i="26"/>
  <c r="R35" i="26"/>
  <c r="S35" i="26"/>
  <c r="T35" i="26"/>
  <c r="U35" i="26"/>
  <c r="N36" i="26"/>
  <c r="O36" i="26"/>
  <c r="P36" i="26"/>
  <c r="Q36" i="26"/>
  <c r="R36" i="26"/>
  <c r="S36" i="26"/>
  <c r="T36" i="26"/>
  <c r="U36" i="26"/>
  <c r="N37" i="26"/>
  <c r="O37" i="26"/>
  <c r="P37" i="26"/>
  <c r="Q37" i="26"/>
  <c r="R37" i="26"/>
  <c r="S37" i="26"/>
  <c r="T37" i="26"/>
  <c r="U37" i="26"/>
  <c r="N38" i="26"/>
  <c r="O38" i="26"/>
  <c r="P38" i="26"/>
  <c r="Q38" i="26"/>
  <c r="R38" i="26"/>
  <c r="S38" i="26"/>
  <c r="T38" i="26"/>
  <c r="U38" i="26"/>
  <c r="N39" i="26"/>
  <c r="O39" i="26"/>
  <c r="P39" i="26"/>
  <c r="Q39" i="26"/>
  <c r="R39" i="26"/>
  <c r="S39" i="26"/>
  <c r="T39" i="26"/>
  <c r="U39" i="26"/>
  <c r="N40" i="26"/>
  <c r="O40" i="26"/>
  <c r="P40" i="26"/>
  <c r="Q40" i="26"/>
  <c r="R40" i="26"/>
  <c r="S40" i="26"/>
  <c r="T40" i="26"/>
  <c r="U40" i="26"/>
  <c r="N41" i="26"/>
  <c r="O41" i="26"/>
  <c r="P41" i="26"/>
  <c r="Q41" i="26"/>
  <c r="R41" i="26"/>
  <c r="S41" i="26"/>
  <c r="T41" i="26"/>
  <c r="U41" i="26"/>
  <c r="N42" i="26"/>
  <c r="O42" i="26"/>
  <c r="P42" i="26"/>
  <c r="Q42" i="26"/>
  <c r="R42" i="26"/>
  <c r="S42" i="26"/>
  <c r="T42" i="26"/>
  <c r="U42" i="26"/>
  <c r="N43" i="26"/>
  <c r="O43" i="26"/>
  <c r="P43" i="26"/>
  <c r="Q43" i="26"/>
  <c r="R43" i="26"/>
  <c r="S43" i="26"/>
  <c r="T43" i="26"/>
  <c r="U43" i="26"/>
  <c r="N44" i="26"/>
  <c r="O44" i="26"/>
  <c r="P44" i="26"/>
  <c r="Q44" i="26"/>
  <c r="R44" i="26"/>
  <c r="S44" i="26"/>
  <c r="T44" i="26"/>
  <c r="U44" i="26"/>
  <c r="N45" i="26"/>
  <c r="O45" i="26"/>
  <c r="P45" i="26"/>
  <c r="Q45" i="26"/>
  <c r="R45" i="26"/>
  <c r="S45" i="26"/>
  <c r="T45" i="26"/>
  <c r="U45" i="26"/>
  <c r="N46" i="26"/>
  <c r="O46" i="26"/>
  <c r="P46" i="26"/>
  <c r="Q46" i="26"/>
  <c r="R46" i="26"/>
  <c r="S46" i="26"/>
  <c r="T46" i="26"/>
  <c r="U46" i="26"/>
  <c r="N47" i="26"/>
  <c r="O47" i="26"/>
  <c r="P47" i="26"/>
  <c r="Q47" i="26"/>
  <c r="R47" i="26"/>
  <c r="S47" i="26"/>
  <c r="T47" i="26"/>
  <c r="U47" i="26"/>
  <c r="N48" i="26"/>
  <c r="O48" i="26"/>
  <c r="P48" i="26"/>
  <c r="Q48" i="26"/>
  <c r="R48" i="26"/>
  <c r="S48" i="26"/>
  <c r="T48" i="26"/>
  <c r="U48" i="26"/>
  <c r="N49" i="26"/>
  <c r="O49" i="26"/>
  <c r="P49" i="26"/>
  <c r="Q49" i="26"/>
  <c r="R49" i="26"/>
  <c r="S49" i="26"/>
  <c r="T49" i="26"/>
  <c r="U49" i="26"/>
  <c r="N50" i="26"/>
  <c r="O50" i="26"/>
  <c r="P50" i="26"/>
  <c r="Q50" i="26"/>
  <c r="R50" i="26"/>
  <c r="S50" i="26"/>
  <c r="T50" i="26"/>
  <c r="U50" i="26"/>
  <c r="N51" i="26"/>
  <c r="O51" i="26"/>
  <c r="P51" i="26"/>
  <c r="Q51" i="26"/>
  <c r="R51" i="26"/>
  <c r="S51" i="26"/>
  <c r="T51" i="26"/>
  <c r="U51" i="26"/>
  <c r="N52" i="26"/>
  <c r="O52" i="26"/>
  <c r="P52" i="26"/>
  <c r="Q52" i="26"/>
  <c r="R52" i="26"/>
  <c r="S52" i="26"/>
  <c r="T52" i="26"/>
  <c r="U52" i="26"/>
  <c r="N53" i="26"/>
  <c r="O53" i="26"/>
  <c r="P53" i="26"/>
  <c r="Q53" i="26"/>
  <c r="R53" i="26"/>
  <c r="S53" i="26"/>
  <c r="T53" i="26"/>
  <c r="U53" i="26"/>
  <c r="O2" i="26"/>
  <c r="P2" i="26"/>
  <c r="Q2" i="26"/>
  <c r="R2" i="26"/>
  <c r="S2" i="26"/>
  <c r="T2" i="26"/>
  <c r="U2" i="26"/>
  <c r="AP54" i="20" a="1"/>
  <c r="AP54" i="20" s="1"/>
  <c r="AP53" i="20" a="1"/>
  <c r="AP53" i="20" s="1"/>
  <c r="AP52" i="20" a="1"/>
  <c r="AP52" i="20" s="1"/>
  <c r="AP51" i="20" a="1"/>
  <c r="AP51" i="20" s="1"/>
  <c r="AP50" i="20" a="1"/>
  <c r="AP50" i="20" s="1"/>
  <c r="AP49" i="20" a="1"/>
  <c r="AP49" i="20" s="1"/>
  <c r="AP48" i="20" a="1"/>
  <c r="AP48" i="20" s="1"/>
  <c r="AP47" i="20" a="1"/>
  <c r="AP47" i="20" s="1"/>
  <c r="AP46" i="20" a="1"/>
  <c r="AP46" i="20" s="1"/>
  <c r="AP45" i="20" a="1"/>
  <c r="AP45" i="20" s="1"/>
  <c r="AP44" i="20" a="1"/>
  <c r="AP44" i="20" s="1"/>
  <c r="AP43" i="20" a="1"/>
  <c r="AP43" i="20" s="1"/>
  <c r="AP42" i="20" a="1"/>
  <c r="AP42" i="20" s="1"/>
  <c r="AP41" i="20" a="1"/>
  <c r="AP41" i="20" s="1"/>
  <c r="AP40" i="20" a="1"/>
  <c r="AP40" i="20" s="1"/>
  <c r="AP39" i="20" a="1"/>
  <c r="AP39" i="20" s="1"/>
  <c r="AP38" i="20" a="1"/>
  <c r="AP38" i="20" s="1"/>
  <c r="AP37" i="20" a="1"/>
  <c r="AP37" i="20" s="1"/>
  <c r="AP36" i="20" a="1"/>
  <c r="AP36" i="20" s="1"/>
  <c r="AP35" i="20" a="1"/>
  <c r="AP35" i="20" s="1"/>
  <c r="AP34" i="20" a="1"/>
  <c r="AP34" i="20" s="1"/>
  <c r="AP33" i="20" a="1"/>
  <c r="AP33" i="20" s="1"/>
  <c r="AP32" i="20" a="1"/>
  <c r="AP32" i="20" s="1"/>
  <c r="AP31" i="20" a="1"/>
  <c r="AP31" i="20" s="1"/>
  <c r="AP30" i="20" a="1"/>
  <c r="AP30" i="20" s="1"/>
  <c r="AP29" i="20" a="1"/>
  <c r="AP29" i="20" s="1"/>
  <c r="AP28" i="20" a="1"/>
  <c r="AP28" i="20" s="1"/>
  <c r="AP27" i="20" a="1"/>
  <c r="AP27" i="20" s="1"/>
  <c r="AP26" i="20" a="1"/>
  <c r="AP26" i="20" s="1"/>
  <c r="AP25" i="20" a="1"/>
  <c r="AP25" i="20" s="1"/>
  <c r="AP24" i="20" a="1"/>
  <c r="AP24" i="20" s="1"/>
  <c r="AP23" i="20" a="1"/>
  <c r="AP23" i="20" s="1"/>
  <c r="AP22" i="20" a="1"/>
  <c r="AP22" i="20" s="1"/>
  <c r="AP21" i="20" a="1"/>
  <c r="AP21" i="20" s="1"/>
  <c r="AP20" i="20" a="1"/>
  <c r="AP20" i="20" s="1"/>
  <c r="AP19" i="20" a="1"/>
  <c r="AP19" i="20" s="1"/>
  <c r="AP18" i="20" a="1"/>
  <c r="AP18" i="20" s="1"/>
  <c r="AP17" i="20" a="1"/>
  <c r="AP17" i="20" s="1"/>
  <c r="AP16" i="20" a="1"/>
  <c r="AP16" i="20" s="1"/>
  <c r="AP15" i="20" a="1"/>
  <c r="AP15" i="20" s="1"/>
  <c r="AP14" i="20" a="1"/>
  <c r="AP14" i="20" s="1"/>
  <c r="AP13" i="20" a="1"/>
  <c r="AP13" i="20" s="1"/>
  <c r="AP12" i="20" a="1"/>
  <c r="AP12" i="20" s="1"/>
  <c r="AP11" i="20" a="1"/>
  <c r="AP11" i="20" s="1"/>
  <c r="AP10" i="20" a="1"/>
  <c r="AP10" i="20" s="1"/>
  <c r="AP9" i="20" a="1"/>
  <c r="AP9" i="20" s="1"/>
  <c r="AP8" i="20" a="1"/>
  <c r="AP8" i="20" s="1"/>
  <c r="AP7" i="20" a="1"/>
  <c r="AP7" i="20" s="1"/>
  <c r="AP6" i="20" a="1"/>
  <c r="AP6" i="20" s="1"/>
  <c r="AP5" i="20" a="1"/>
  <c r="AP5" i="20" s="1"/>
  <c r="AM54" i="20" a="1"/>
  <c r="AM54" i="20" s="1"/>
  <c r="AM53" i="20" a="1"/>
  <c r="AM53" i="20" s="1"/>
  <c r="AM52" i="20" a="1"/>
  <c r="AM52" i="20" s="1"/>
  <c r="AM51" i="20" a="1"/>
  <c r="AM51" i="20" s="1"/>
  <c r="AM50" i="20" a="1"/>
  <c r="AM50" i="20" s="1"/>
  <c r="AM49" i="20" a="1"/>
  <c r="AM49" i="20" s="1"/>
  <c r="AM48" i="20" a="1"/>
  <c r="AM48" i="20" s="1"/>
  <c r="AM47" i="20" a="1"/>
  <c r="AM47" i="20" s="1"/>
  <c r="AM46" i="20" a="1"/>
  <c r="AM46" i="20" s="1"/>
  <c r="AM45" i="20" a="1"/>
  <c r="AM45" i="20" s="1"/>
  <c r="AM44" i="20" a="1"/>
  <c r="AM44" i="20" s="1"/>
  <c r="AM43" i="20" a="1"/>
  <c r="AM43" i="20" s="1"/>
  <c r="AM42" i="20" a="1"/>
  <c r="AM42" i="20" s="1"/>
  <c r="AM41" i="20" a="1"/>
  <c r="AM41" i="20" s="1"/>
  <c r="AM40" i="20" a="1"/>
  <c r="AM40" i="20" s="1"/>
  <c r="AM39" i="20" a="1"/>
  <c r="AM39" i="20" s="1"/>
  <c r="AM38" i="20" a="1"/>
  <c r="AM38" i="20" s="1"/>
  <c r="AM37" i="20" a="1"/>
  <c r="AM37" i="20" s="1"/>
  <c r="AM36" i="20" a="1"/>
  <c r="AM36" i="20" s="1"/>
  <c r="AM35" i="20" a="1"/>
  <c r="AM35" i="20" s="1"/>
  <c r="AM34" i="20" a="1"/>
  <c r="AM34" i="20" s="1"/>
  <c r="AM33" i="20" a="1"/>
  <c r="AM33" i="20" s="1"/>
  <c r="AM32" i="20" a="1"/>
  <c r="AM32" i="20" s="1"/>
  <c r="AM31" i="20" a="1"/>
  <c r="AM31" i="20" s="1"/>
  <c r="AM30" i="20" a="1"/>
  <c r="AM30" i="20" s="1"/>
  <c r="AM29" i="20" a="1"/>
  <c r="AM29" i="20" s="1"/>
  <c r="AM28" i="20" a="1"/>
  <c r="AM28" i="20" s="1"/>
  <c r="AM27" i="20" a="1"/>
  <c r="AM27" i="20" s="1"/>
  <c r="AM26" i="20" a="1"/>
  <c r="AM26" i="20" s="1"/>
  <c r="AM25" i="20" a="1"/>
  <c r="AM25" i="20" s="1"/>
  <c r="AM24" i="20" a="1"/>
  <c r="AM24" i="20" s="1"/>
  <c r="AM23" i="20" a="1"/>
  <c r="AM23" i="20" s="1"/>
  <c r="AM22" i="20" a="1"/>
  <c r="AM22" i="20" s="1"/>
  <c r="AM21" i="20" a="1"/>
  <c r="AM21" i="20" s="1"/>
  <c r="AM20" i="20" a="1"/>
  <c r="AM20" i="20" s="1"/>
  <c r="AM19" i="20" a="1"/>
  <c r="AM19" i="20" s="1"/>
  <c r="AM18" i="20" a="1"/>
  <c r="AM18" i="20" s="1"/>
  <c r="AM17" i="20" a="1"/>
  <c r="AM17" i="20" s="1"/>
  <c r="AM16" i="20" a="1"/>
  <c r="AM16" i="20" s="1"/>
  <c r="AM15" i="20" a="1"/>
  <c r="AM15" i="20" s="1"/>
  <c r="AM14" i="20" a="1"/>
  <c r="AM14" i="20" s="1"/>
  <c r="AM13" i="20" a="1"/>
  <c r="AM13" i="20" s="1"/>
  <c r="AM12" i="20" a="1"/>
  <c r="AM12" i="20" s="1"/>
  <c r="AM11" i="20" a="1"/>
  <c r="AM11" i="20" s="1"/>
  <c r="AM10" i="20" a="1"/>
  <c r="AM10" i="20" s="1"/>
  <c r="AM9" i="20" a="1"/>
  <c r="AM9" i="20" s="1"/>
  <c r="AM8" i="20" a="1"/>
  <c r="AM8" i="20" s="1"/>
  <c r="AM7" i="20" a="1"/>
  <c r="AM7" i="20" s="1"/>
  <c r="AM6" i="20" a="1"/>
  <c r="AM6" i="20" s="1"/>
  <c r="AM5" i="20" a="1"/>
  <c r="AM5" i="20" s="1"/>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N4" i="23" l="1"/>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AN49" i="20"/>
  <c r="AN43" i="20"/>
  <c r="AK50" i="20"/>
  <c r="AN53" i="20"/>
  <c r="AN47" i="20"/>
  <c r="AK45" i="20"/>
  <c r="AK43" i="20"/>
  <c r="AK41" i="20"/>
  <c r="AN54" i="20"/>
  <c r="AN46" i="20"/>
  <c r="AN45" i="20"/>
  <c r="AN44" i="20"/>
  <c r="AN37" i="20"/>
  <c r="AK47" i="20"/>
  <c r="AK46"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N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AC1" i="26" s="1"/>
  <c r="AM4" i="20"/>
  <c r="AL4" i="20"/>
  <c r="AB1" i="26" s="1"/>
  <c r="AJ4" i="20"/>
  <c r="AI4" i="20"/>
  <c r="AA1" i="26" s="1"/>
  <c r="AG4" i="20"/>
  <c r="AF4" i="20"/>
  <c r="Z1" i="26" s="1"/>
  <c r="AD4" i="20"/>
  <c r="AC4" i="20"/>
  <c r="Y1" i="26" s="1"/>
  <c r="AA4" i="20"/>
  <c r="Z4" i="20"/>
  <c r="X1" i="26" s="1"/>
  <c r="X4" i="20"/>
  <c r="W4" i="20"/>
  <c r="W1" i="26" s="1"/>
  <c r="T4" i="20"/>
  <c r="V1" i="26" s="1"/>
  <c r="U4" i="20"/>
  <c r="AJ54" i="20" l="1"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AJ11" i="20" a="1"/>
  <c r="AJ11" i="20" s="1"/>
  <c r="AJ9" i="20" a="1"/>
  <c r="AJ9" i="20" s="1"/>
  <c r="AJ21" i="20" a="1"/>
  <c r="AJ21" i="20" s="1"/>
  <c r="AJ8" i="20" a="1"/>
  <c r="AJ8" i="20" s="1"/>
  <c r="AJ27" i="20" a="1"/>
  <c r="AJ27" i="20" s="1"/>
  <c r="AJ39" i="20" a="1"/>
  <c r="AJ39" i="20" s="1"/>
  <c r="AJ46" i="20" a="1"/>
  <c r="AJ46" i="20" s="1"/>
  <c r="AJ53" i="20" a="1"/>
  <c r="AJ53" i="20" s="1"/>
  <c r="AJ19" i="20" a="1"/>
  <c r="AJ19" i="20" s="1"/>
  <c r="AJ16" i="20" a="1"/>
  <c r="AJ16" i="20" s="1"/>
  <c r="AJ14" i="20" a="1"/>
  <c r="AJ14" i="20" s="1"/>
  <c r="AJ50" i="20" a="1"/>
  <c r="AJ50" i="20" s="1"/>
  <c r="AJ24" i="20" a="1"/>
  <c r="AJ24" i="20" s="1"/>
  <c r="AJ33" i="20" a="1"/>
  <c r="AJ33" i="20" s="1"/>
  <c r="AJ37" i="20" a="1"/>
  <c r="AJ37" i="20" s="1"/>
  <c r="AJ40" i="20" a="1"/>
  <c r="AJ40" i="20" s="1"/>
  <c r="AJ47" i="20" a="1"/>
  <c r="AJ47" i="20" s="1"/>
  <c r="AJ31" i="20" a="1"/>
  <c r="AJ31" i="20" s="1"/>
  <c r="AJ26" i="20" a="1"/>
  <c r="AJ26" i="20" s="1"/>
  <c r="AJ6" i="20" a="1"/>
  <c r="AJ6" i="20" s="1"/>
  <c r="AJ18" i="20" a="1"/>
  <c r="AJ18" i="20" s="1"/>
  <c r="AJ20" i="20" a="1"/>
  <c r="AJ20" i="20" s="1"/>
  <c r="AJ23" i="20" a="1"/>
  <c r="AJ23" i="20" s="1"/>
  <c r="AJ29" i="20" a="1"/>
  <c r="AJ29" i="20" s="1"/>
  <c r="AJ32" i="20" a="1"/>
  <c r="AJ32" i="20" s="1"/>
  <c r="AJ35" i="20" a="1"/>
  <c r="AJ35" i="20" s="1"/>
  <c r="AJ42" i="20" a="1"/>
  <c r="AJ42" i="20" s="1"/>
  <c r="AJ45" i="20" a="1"/>
  <c r="AJ45" i="20" s="1"/>
  <c r="AJ7" i="20" a="1"/>
  <c r="AJ7" i="20" s="1"/>
  <c r="AJ10" i="20" a="1"/>
  <c r="AJ10" i="20" s="1"/>
  <c r="AJ12" i="20" a="1"/>
  <c r="AJ12" i="20" s="1"/>
  <c r="AJ15" i="20" a="1"/>
  <c r="AJ15" i="20" s="1"/>
  <c r="AJ36" i="20" a="1"/>
  <c r="AJ36" i="20" s="1"/>
  <c r="AJ41" i="20" a="1"/>
  <c r="AJ41" i="20" s="1"/>
  <c r="AJ44" i="20" a="1"/>
  <c r="AJ44" i="20" s="1"/>
  <c r="AJ22" i="20" a="1"/>
  <c r="AJ22" i="20" s="1"/>
  <c r="AJ13" i="20" a="1"/>
  <c r="AJ13" i="20" s="1"/>
  <c r="AJ5" i="20" a="1"/>
  <c r="AJ5" i="20" s="1"/>
  <c r="AG33" i="20" a="1"/>
  <c r="AG33" i="20" s="1"/>
  <c r="AG31" i="20" a="1"/>
  <c r="AG31" i="20" s="1"/>
  <c r="AG27" i="20" a="1"/>
  <c r="AG27" i="20" s="1"/>
  <c r="AG26" i="20" a="1"/>
  <c r="AG26" i="20" s="1"/>
  <c r="AG19" i="20" a="1"/>
  <c r="AG19" i="20" s="1"/>
  <c r="AG16" i="20" a="1"/>
  <c r="AG16" i="20" s="1"/>
  <c r="AG10" i="20" a="1"/>
  <c r="AG10" i="20" s="1"/>
  <c r="AG7" i="20" a="1"/>
  <c r="AG7" i="20" s="1"/>
  <c r="AG5" i="20" a="1"/>
  <c r="AG5" i="20" s="1"/>
  <c r="AG9" i="20" a="1"/>
  <c r="AG9" i="20" s="1"/>
  <c r="AG14" i="20" a="1"/>
  <c r="AG14" i="20" s="1"/>
  <c r="AG17" i="20" a="1"/>
  <c r="AG17" i="20" s="1"/>
  <c r="AG22" i="20" a="1"/>
  <c r="AG22" i="20" s="1"/>
  <c r="AG32" i="20" a="1"/>
  <c r="AG32" i="20" s="1"/>
  <c r="AG37" i="20" a="1"/>
  <c r="AG37" i="20" s="1"/>
  <c r="AG43" i="20" a="1"/>
  <c r="AG43" i="20" s="1"/>
  <c r="AG48" i="20" a="1"/>
  <c r="AG48" i="20" s="1"/>
  <c r="AG35" i="20" a="1"/>
  <c r="AG35" i="20" s="1"/>
  <c r="AG12" i="20" a="1"/>
  <c r="AG12" i="20" s="1"/>
  <c r="AG20" i="20" a="1"/>
  <c r="AG20" i="20"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AG15" i="20" a="1"/>
  <c r="AG15" i="20" s="1"/>
  <c r="AG11" i="20" a="1"/>
  <c r="AG11" i="20" s="1"/>
  <c r="AG6" i="20" a="1"/>
  <c r="AG6" i="20"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AG13" i="20" a="1"/>
  <c r="AG13" i="20" s="1"/>
  <c r="AG8" i="20" a="1"/>
  <c r="AG8" i="20" s="1"/>
  <c r="AD45" i="20" a="1"/>
  <c r="AD45" i="20" s="1"/>
  <c r="AD43" i="20" a="1"/>
  <c r="AD43" i="20" s="1"/>
  <c r="AD38" i="20" a="1"/>
  <c r="AD38" i="20" s="1"/>
  <c r="AD35" i="20" a="1"/>
  <c r="AD35" i="20" s="1"/>
  <c r="AD31" i="20" a="1"/>
  <c r="AD31" i="20" s="1"/>
  <c r="AD27" i="20" a="1"/>
  <c r="AD27" i="20" s="1"/>
  <c r="AD24" i="20" a="1"/>
  <c r="AD24" i="20" s="1"/>
  <c r="AD12" i="20" a="1"/>
  <c r="AD12" i="20" s="1"/>
  <c r="AD8" i="20" a="1"/>
  <c r="AD8" i="20" s="1"/>
  <c r="AD6" i="20" a="1"/>
  <c r="AD6" i="20" s="1"/>
  <c r="AD17" i="20" a="1"/>
  <c r="AD17" i="20" s="1"/>
  <c r="AD20" i="20" a="1"/>
  <c r="AD20" i="20" s="1"/>
  <c r="AD23" i="20" a="1"/>
  <c r="AD23" i="20" s="1"/>
  <c r="AD9" i="20" a="1"/>
  <c r="AD9" i="20" s="1"/>
  <c r="AD26" i="20" a="1"/>
  <c r="AD26" i="20" s="1"/>
  <c r="AD34" i="20" a="1"/>
  <c r="AD34" i="20" s="1"/>
  <c r="AD42" i="20" a="1"/>
  <c r="AD42" i="20" s="1"/>
  <c r="AD44" i="20" a="1"/>
  <c r="AD44" i="20" s="1"/>
  <c r="AD46" i="20" a="1"/>
  <c r="AD46" i="20" s="1"/>
  <c r="AD50" i="20" a="1"/>
  <c r="AD50" i="20" s="1"/>
  <c r="AD52" i="20" a="1"/>
  <c r="AD52" i="20" s="1"/>
  <c r="AD54" i="20" a="1"/>
  <c r="AD54" i="20" s="1"/>
  <c r="AD13" i="20" a="1"/>
  <c r="AD13" i="20" s="1"/>
  <c r="AD14" i="20" a="1"/>
  <c r="AD14" i="20" s="1"/>
  <c r="AD49" i="20" a="1"/>
  <c r="AD49" i="20" s="1"/>
  <c r="AD15" i="20" a="1"/>
  <c r="AD15" i="20" s="1"/>
  <c r="AD21" i="20" a="1"/>
  <c r="AD21" i="20"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AD18" i="20" a="1"/>
  <c r="AD18" i="20" s="1"/>
  <c r="AD16" i="20" a="1"/>
  <c r="AD16" i="20" s="1"/>
  <c r="AD7" i="20" a="1"/>
  <c r="AD7" i="20" s="1"/>
  <c r="AD53" i="20" a="1"/>
  <c r="AD53" i="20" s="1"/>
  <c r="AD51" i="20" a="1"/>
  <c r="AD51" i="20" s="1"/>
  <c r="AD41" i="20" a="1"/>
  <c r="AD41" i="20" s="1"/>
  <c r="AD37" i="20" a="1"/>
  <c r="AD37" i="20" s="1"/>
  <c r="AD32" i="20" a="1"/>
  <c r="AD32" i="20" s="1"/>
  <c r="AD28" i="20" a="1"/>
  <c r="AD28" i="20" s="1"/>
  <c r="AD19" i="20" a="1"/>
  <c r="AD19" i="20" s="1"/>
  <c r="AD11" i="20" a="1"/>
  <c r="AD11" i="20" s="1"/>
  <c r="AD10" i="20" a="1"/>
  <c r="AD10" i="20"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AA11" i="20" a="1"/>
  <c r="AA11" i="20" s="1"/>
  <c r="AA8" i="20" a="1"/>
  <c r="AA8" i="20" s="1"/>
  <c r="AA46" i="20" a="1"/>
  <c r="AA46" i="20" s="1"/>
  <c r="AA38" i="20" a="1"/>
  <c r="AA38" i="20" s="1"/>
  <c r="AA33" i="20" a="1"/>
  <c r="AA33" i="20" s="1"/>
  <c r="AA30" i="20" a="1"/>
  <c r="AA30" i="20" s="1"/>
  <c r="AA26" i="20" a="1"/>
  <c r="AA26" i="20" s="1"/>
  <c r="AA16" i="20" a="1"/>
  <c r="AA16" i="20" s="1"/>
  <c r="AA13" i="20" a="1"/>
  <c r="AA13" i="20" s="1"/>
  <c r="AA10" i="20" a="1"/>
  <c r="AA10" i="20" s="1"/>
  <c r="AA5" i="20" a="1"/>
  <c r="AA5" i="20" s="1"/>
  <c r="AA52" i="20" a="1"/>
  <c r="AA52" i="20" s="1"/>
  <c r="AA44" i="20" a="1"/>
  <c r="AA44" i="20" s="1"/>
  <c r="AA37" i="20" a="1"/>
  <c r="AA37" i="20" s="1"/>
  <c r="AA29" i="20" a="1"/>
  <c r="AA29" i="20" s="1"/>
  <c r="AA24" i="20" a="1"/>
  <c r="AA24" i="20" s="1"/>
  <c r="AA21" i="20" a="1"/>
  <c r="AA21" i="20" s="1"/>
  <c r="AA40" i="20" a="1"/>
  <c r="AA40" i="20" s="1"/>
  <c r="AA18" i="20" a="1"/>
  <c r="AA18" i="20" s="1"/>
  <c r="AA12" i="20" a="1"/>
  <c r="AA12" i="20" s="1"/>
  <c r="AA9" i="20" a="1"/>
  <c r="AA9" i="20" s="1"/>
  <c r="AA7" i="20" a="1"/>
  <c r="AA7" i="20" s="1"/>
  <c r="AA53" i="20" a="1"/>
  <c r="AA53" i="20" s="1"/>
  <c r="AA49" i="20" a="1"/>
  <c r="AA49" i="20" s="1"/>
  <c r="AA47" i="20" a="1"/>
  <c r="AA47" i="20" s="1"/>
  <c r="AA35" i="20" a="1"/>
  <c r="AA35" i="20" s="1"/>
  <c r="AA32" i="20" a="1"/>
  <c r="AA32" i="20" s="1"/>
  <c r="AA28" i="20" a="1"/>
  <c r="AA28" i="20" s="1"/>
  <c r="AA25" i="20" a="1"/>
  <c r="AA25" i="20" s="1"/>
  <c r="AA22" i="20" a="1"/>
  <c r="AA22" i="20" s="1"/>
  <c r="AA14" i="20" a="1"/>
  <c r="AA14" i="20" s="1"/>
  <c r="AA51" i="20" a="1"/>
  <c r="AA51" i="20" s="1"/>
  <c r="AA50" i="20" a="1"/>
  <c r="AA50" i="20" s="1"/>
  <c r="AA45" i="20" a="1"/>
  <c r="AA45" i="20" s="1"/>
  <c r="AA42" i="20" a="1"/>
  <c r="AA42" i="20" s="1"/>
  <c r="AA36" i="20" a="1"/>
  <c r="AA36" i="20" s="1"/>
  <c r="AA34" i="20" a="1"/>
  <c r="AA34" i="20" s="1"/>
  <c r="AA20" i="20" a="1"/>
  <c r="AA20" i="20" s="1"/>
  <c r="AA19" i="20" a="1"/>
  <c r="AA19" i="20" s="1"/>
  <c r="AA15" i="20" a="1"/>
  <c r="AA15" i="20" s="1"/>
  <c r="AA6" i="20" a="1"/>
  <c r="AA6" i="20" s="1"/>
  <c r="X52" i="20" a="1"/>
  <c r="X52" i="20" s="1"/>
  <c r="X53" i="20" a="1"/>
  <c r="X53" i="20" s="1"/>
  <c r="X28" i="20" a="1"/>
  <c r="X28" i="20" s="1"/>
  <c r="X30" i="20" a="1"/>
  <c r="X30" i="20" s="1"/>
  <c r="X35" i="20" a="1"/>
  <c r="X35" i="20" s="1"/>
  <c r="X38" i="20" a="1"/>
  <c r="X38" i="20" s="1"/>
  <c r="X54" i="20" a="1"/>
  <c r="X54" i="20" s="1"/>
  <c r="X13" i="20" a="1"/>
  <c r="X13" i="20" s="1"/>
  <c r="X45" i="20" a="1"/>
  <c r="X45" i="20" s="1"/>
  <c r="X39" i="20" a="1"/>
  <c r="X39" i="20" s="1"/>
  <c r="X33" i="20" a="1"/>
  <c r="X33" i="20" s="1"/>
  <c r="X18" i="20" a="1"/>
  <c r="X18" i="20" s="1"/>
  <c r="X29" i="20" a="1"/>
  <c r="X29" i="20" s="1"/>
  <c r="X11" i="20" a="1"/>
  <c r="X11" i="20" s="1"/>
  <c r="X7" i="20" a="1"/>
  <c r="X7" i="20" s="1"/>
  <c r="X5" i="20" a="1"/>
  <c r="X5" i="20" s="1"/>
  <c r="X8" i="20" a="1"/>
  <c r="X8" i="20" s="1"/>
  <c r="X10" i="20" a="1"/>
  <c r="X10" i="20" s="1"/>
  <c r="X14" i="20" a="1"/>
  <c r="X14" i="20" s="1"/>
  <c r="X17" i="20" a="1"/>
  <c r="X17" i="20" s="1"/>
  <c r="X22" i="20" a="1"/>
  <c r="X22" i="20" s="1"/>
  <c r="X24" i="20" a="1"/>
  <c r="X24" i="20" s="1"/>
  <c r="X16" i="20" a="1"/>
  <c r="X16" i="20" s="1"/>
  <c r="X47" i="20" a="1"/>
  <c r="X47" i="20" s="1"/>
  <c r="X26" i="20" a="1"/>
  <c r="X26" i="20" s="1"/>
  <c r="X21" i="20" a="1"/>
  <c r="X21" i="20"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X12" i="20" a="1"/>
  <c r="X12" i="20" s="1"/>
  <c r="X9" i="20" a="1"/>
  <c r="X9" i="20" s="1"/>
  <c r="X6" i="20" a="1"/>
  <c r="X6" i="20" s="1"/>
  <c r="X50" i="20" a="1"/>
  <c r="X50" i="20" s="1"/>
  <c r="X44" i="20" a="1"/>
  <c r="X44" i="20" s="1"/>
  <c r="X42" i="20" a="1"/>
  <c r="X42" i="20" s="1"/>
  <c r="X31" i="20" a="1"/>
  <c r="X31" i="20" s="1"/>
  <c r="X25" i="20" a="1"/>
  <c r="X25" i="20" s="1"/>
  <c r="X20" i="20" a="1"/>
  <c r="X20" i="20" s="1"/>
  <c r="X15" i="20" a="1"/>
  <c r="X15" i="20"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U16" i="20" a="1"/>
  <c r="U16" i="20" s="1"/>
  <c r="U15" i="20" a="1"/>
  <c r="U15" i="20" s="1"/>
  <c r="U6" i="20" a="1"/>
  <c r="U6" i="20" s="1"/>
  <c r="U22" i="20" a="1"/>
  <c r="U22" i="20" s="1"/>
  <c r="U48" i="20" a="1"/>
  <c r="U48" i="20" s="1"/>
  <c r="U45" i="20" a="1"/>
  <c r="U45" i="20" s="1"/>
  <c r="U37" i="20" a="1"/>
  <c r="U37" i="20" s="1"/>
  <c r="U34" i="20" a="1"/>
  <c r="U34" i="20" s="1"/>
  <c r="U19" i="20" a="1"/>
  <c r="U19" i="20" s="1"/>
  <c r="U26" i="20" a="1"/>
  <c r="U26" i="20" s="1"/>
  <c r="U33" i="20" a="1"/>
  <c r="U33" i="20" s="1"/>
  <c r="U36" i="20" a="1"/>
  <c r="U36" i="20" s="1"/>
  <c r="U38" i="20" a="1"/>
  <c r="U38" i="20" s="1"/>
  <c r="U41" i="20" a="1"/>
  <c r="U41" i="20" s="1"/>
  <c r="U47" i="20" a="1"/>
  <c r="U47" i="20" s="1"/>
  <c r="U21" i="20" a="1"/>
  <c r="U21" i="20" s="1"/>
  <c r="U27" i="20" a="1"/>
  <c r="U27" i="20" s="1"/>
  <c r="U31" i="20" a="1"/>
  <c r="U31" i="20" s="1"/>
  <c r="U39" i="20" a="1"/>
  <c r="U39" i="20" s="1"/>
  <c r="U44" i="20" a="1"/>
  <c r="U44" i="20" s="1"/>
  <c r="U51" i="20" a="1"/>
  <c r="U51" i="20" s="1"/>
  <c r="U5" i="20" a="1"/>
  <c r="U5" i="20" s="1"/>
  <c r="U12" i="20" a="1"/>
  <c r="U12" i="20" s="1"/>
  <c r="U10" i="20" a="1"/>
  <c r="U10" i="20" s="1"/>
  <c r="U32" i="20" a="1"/>
  <c r="U32" i="20" s="1"/>
  <c r="U53" i="20" a="1"/>
  <c r="U53" i="20" s="1"/>
  <c r="U29" i="20" a="1"/>
  <c r="U29" i="20" s="1"/>
  <c r="U24" i="20" a="1"/>
  <c r="U24" i="20" s="1"/>
  <c r="U7" i="20" a="1"/>
  <c r="U7" i="20" s="1"/>
  <c r="U11" i="20" a="1"/>
  <c r="U11" i="20" s="1"/>
  <c r="U13" i="20" a="1"/>
  <c r="U13" i="20" s="1"/>
  <c r="U14" i="20" a="1"/>
  <c r="U14" i="20" s="1"/>
  <c r="U18" i="20" a="1"/>
  <c r="U18" i="20" s="1"/>
  <c r="U23" i="20" a="1"/>
  <c r="U23" i="20" s="1"/>
  <c r="U8" i="20" a="1"/>
  <c r="U8" i="20" s="1"/>
  <c r="U9" i="20" a="1"/>
  <c r="U9" i="20" s="1"/>
  <c r="U17" i="20" a="1"/>
  <c r="U17" i="20" s="1"/>
  <c r="U43" i="20" a="1"/>
  <c r="U43" i="20" s="1"/>
  <c r="U46" i="20" a="1"/>
  <c r="U46" i="20" s="1"/>
  <c r="U54" i="20" a="1"/>
  <c r="U54" i="20" s="1"/>
  <c r="I10" i="23"/>
  <c r="N30" i="20"/>
  <c r="P5" i="20" l="1"/>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Z23" i="26"/>
  <c r="AE6" i="20"/>
  <c r="AE13" i="20"/>
  <c r="AE22" i="20"/>
  <c r="AE18" i="20"/>
  <c r="AE10" i="20"/>
  <c r="AE12" i="20"/>
  <c r="AE8" i="20"/>
  <c r="AE25" i="20"/>
  <c r="Z22" i="26"/>
  <c r="AE14" i="20"/>
  <c r="AE19" i="20"/>
  <c r="AE21" i="20"/>
  <c r="AE24" i="20"/>
  <c r="Z21" i="26"/>
  <c r="AE16" i="20"/>
  <c r="AE23" i="20"/>
  <c r="Z20" i="26"/>
  <c r="AE27" i="20"/>
  <c r="Z24" i="26"/>
  <c r="AE20" i="20"/>
  <c r="AE17" i="20"/>
  <c r="AE28" i="20"/>
  <c r="Z25" i="26"/>
  <c r="AB31" i="20"/>
  <c r="Y28" i="26"/>
  <c r="AB18" i="20"/>
  <c r="AB12" i="20"/>
  <c r="AB10" i="20"/>
  <c r="AB6" i="20"/>
  <c r="AB27" i="20"/>
  <c r="Y24" i="26"/>
  <c r="AB23" i="20"/>
  <c r="Y20" i="26"/>
  <c r="AB21" i="20"/>
  <c r="AB19" i="20"/>
  <c r="AB17" i="20"/>
  <c r="AB16" i="20"/>
  <c r="AB14" i="20"/>
  <c r="AB8" i="20"/>
  <c r="AB28" i="20"/>
  <c r="Y25" i="26"/>
  <c r="AB22" i="20"/>
  <c r="AB33" i="20"/>
  <c r="Y30" i="26"/>
  <c r="AB29" i="20"/>
  <c r="Y26" i="26"/>
  <c r="AB25" i="20"/>
  <c r="Y22" i="26"/>
  <c r="AB15" i="20"/>
  <c r="AB20" i="20"/>
  <c r="AB13" i="20"/>
  <c r="AB7" i="20"/>
  <c r="AB11" i="20"/>
  <c r="AB9" i="20"/>
  <c r="AB32" i="20"/>
  <c r="Y29" i="26"/>
  <c r="AB30" i="20"/>
  <c r="Y27" i="26"/>
  <c r="AB26" i="20"/>
  <c r="Y23" i="26"/>
  <c r="AB24" i="20"/>
  <c r="Y21" i="26"/>
  <c r="Y32" i="20"/>
  <c r="X29" i="26"/>
  <c r="Y29" i="20"/>
  <c r="X26" i="26"/>
  <c r="Y10" i="20"/>
  <c r="Y28" i="20"/>
  <c r="X25" i="26"/>
  <c r="Y12" i="20"/>
  <c r="Y6" i="20"/>
  <c r="Y26" i="20"/>
  <c r="X23" i="26"/>
  <c r="Y24" i="20"/>
  <c r="X21" i="26"/>
  <c r="Y18" i="20"/>
  <c r="Y20" i="20"/>
  <c r="Y17" i="20"/>
  <c r="Y16" i="20"/>
  <c r="Y13" i="20"/>
  <c r="Y14" i="20"/>
  <c r="Y19" i="20"/>
  <c r="Y22" i="20"/>
  <c r="Y31" i="20"/>
  <c r="X28" i="26"/>
  <c r="Y30" i="20"/>
  <c r="X27" i="26"/>
  <c r="Y27" i="20"/>
  <c r="X24" i="26"/>
  <c r="Y8" i="20"/>
  <c r="Y25" i="20"/>
  <c r="X22" i="26"/>
  <c r="Y23" i="20"/>
  <c r="X20" i="26"/>
  <c r="Y21" i="20"/>
  <c r="Y15" i="20"/>
  <c r="Y7" i="20"/>
  <c r="Y11" i="20"/>
  <c r="Y9" i="20"/>
  <c r="V24" i="20"/>
  <c r="W21" i="26"/>
  <c r="V12" i="20"/>
  <c r="V16" i="20"/>
  <c r="V23" i="20"/>
  <c r="W20" i="26"/>
  <c r="V10" i="20"/>
  <c r="V30" i="20"/>
  <c r="W27" i="26"/>
  <c r="V28" i="20"/>
  <c r="W25" i="26"/>
  <c r="V26" i="20"/>
  <c r="W23" i="26"/>
  <c r="V17" i="20"/>
  <c r="V21" i="20"/>
  <c r="V13" i="20"/>
  <c r="V29" i="20"/>
  <c r="W26" i="26"/>
  <c r="V6" i="20"/>
  <c r="V14" i="20"/>
  <c r="V22" i="20"/>
  <c r="V31" i="20"/>
  <c r="W28" i="26"/>
  <c r="V20" i="20"/>
  <c r="V18" i="20"/>
  <c r="V19" i="20"/>
  <c r="V15" i="20"/>
  <c r="V7" i="20"/>
  <c r="V27" i="20"/>
  <c r="W24" i="26"/>
  <c r="V11" i="20"/>
  <c r="V9" i="20"/>
  <c r="V25" i="20"/>
  <c r="W22" i="26"/>
  <c r="V8" i="20"/>
  <c r="V33" i="26"/>
  <c r="V20" i="26"/>
  <c r="V25" i="26"/>
  <c r="V24" i="26"/>
  <c r="V31" i="26"/>
  <c r="V21" i="26"/>
  <c r="O26" i="20"/>
  <c r="V23" i="26"/>
  <c r="V35" i="26"/>
  <c r="V30" i="26"/>
  <c r="V27" i="26"/>
  <c r="V28" i="26"/>
  <c r="V29" i="26"/>
  <c r="V34" i="26"/>
  <c r="V26" i="26"/>
  <c r="V22" i="26"/>
  <c r="O18" i="20"/>
  <c r="P35" i="20"/>
  <c r="AC25" i="26"/>
  <c r="AC20" i="26"/>
  <c r="AC28" i="26"/>
  <c r="AC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AC45" i="26"/>
  <c r="AC48" i="26"/>
  <c r="AC47" i="26"/>
  <c r="AC46" i="26"/>
  <c r="AC31" i="26"/>
  <c r="AC21" i="26"/>
  <c r="N8" i="20" l="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V52" i="26"/>
  <c r="O57" i="20"/>
  <c r="S51" i="20"/>
  <c r="O51" i="20"/>
  <c r="X37" i="26"/>
  <c r="Y40" i="20"/>
  <c r="Y54" i="20"/>
  <c r="X51" i="26"/>
  <c r="X40" i="26"/>
  <c r="Y43" i="20"/>
  <c r="Y44" i="20"/>
  <c r="X41" i="26"/>
  <c r="X33" i="26"/>
  <c r="Y36" i="20"/>
  <c r="X34" i="26"/>
  <c r="Y37" i="20"/>
  <c r="Y35" i="20"/>
  <c r="X32" i="26"/>
  <c r="Y49" i="20"/>
  <c r="X46" i="26"/>
  <c r="Y51" i="20"/>
  <c r="X48" i="26"/>
  <c r="Y52" i="20"/>
  <c r="X49" i="26"/>
  <c r="O36" i="20"/>
  <c r="V36" i="20"/>
  <c r="S54" i="20"/>
  <c r="O54" i="20"/>
  <c r="O49" i="20"/>
  <c r="V46" i="26"/>
  <c r="V36" i="26"/>
  <c r="O39" i="20"/>
  <c r="S47" i="20"/>
  <c r="O47" i="20"/>
  <c r="V45" i="26"/>
  <c r="O48" i="20"/>
  <c r="S40" i="20"/>
  <c r="O40" i="20"/>
  <c r="O42" i="20"/>
  <c r="S42" i="20"/>
  <c r="O35" i="20"/>
  <c r="S35" i="20"/>
  <c r="V32" i="26"/>
  <c r="O44" i="20"/>
  <c r="S44" i="20"/>
  <c r="O50" i="20"/>
  <c r="S50" i="20"/>
  <c r="V42" i="26"/>
  <c r="O45" i="20"/>
  <c r="O53" i="20"/>
  <c r="V50" i="26"/>
  <c r="V49" i="26"/>
  <c r="O52" i="20"/>
  <c r="S43" i="20"/>
  <c r="O43" i="20"/>
  <c r="S41" i="20"/>
  <c r="O41" i="20"/>
  <c r="S5" i="20"/>
  <c r="O5" i="20"/>
  <c r="AC39" i="26"/>
  <c r="AC49" i="26"/>
  <c r="AC27" i="26"/>
  <c r="AC36" i="26"/>
  <c r="AC30" i="26"/>
  <c r="AC38" i="26"/>
  <c r="AC22" i="26"/>
  <c r="AC40" i="26"/>
  <c r="AC37" i="26"/>
  <c r="AB25" i="26"/>
  <c r="V37" i="26"/>
  <c r="V38" i="26"/>
  <c r="V47" i="26"/>
  <c r="V43" i="26"/>
  <c r="V53" i="26"/>
  <c r="V44" i="26"/>
  <c r="S36" i="20"/>
  <c r="AB21" i="26"/>
  <c r="V48" i="26"/>
  <c r="V40" i="26"/>
  <c r="S39" i="20"/>
  <c r="S25" i="20"/>
  <c r="S49" i="20"/>
  <c r="V41" i="26"/>
  <c r="V39" i="26"/>
  <c r="V51" i="26"/>
  <c r="S31" i="20"/>
  <c r="S19" i="20"/>
  <c r="S53" i="20"/>
  <c r="S57" i="20"/>
  <c r="S48" i="20"/>
  <c r="S52" i="20"/>
  <c r="S37" i="20"/>
  <c r="S45" i="20"/>
  <c r="AB40" i="26"/>
  <c r="AB39" i="26"/>
  <c r="AB26" i="26"/>
  <c r="AB49" i="26"/>
  <c r="AB48" i="26"/>
  <c r="AB33" i="26"/>
  <c r="AB23" i="26"/>
  <c r="AB32" i="26"/>
  <c r="AB41" i="26"/>
  <c r="AB47" i="26"/>
  <c r="X52" i="26"/>
  <c r="AB31" i="26"/>
  <c r="X53" i="26"/>
  <c r="X39" i="26"/>
  <c r="AB37" i="26"/>
  <c r="AB20" i="26"/>
  <c r="X47" i="26"/>
  <c r="AB22" i="26"/>
  <c r="AB44" i="26"/>
  <c r="AB46" i="26"/>
  <c r="AB24" i="26"/>
  <c r="AB43" i="26"/>
  <c r="AB50" i="26"/>
  <c r="X50" i="26"/>
  <c r="X36" i="26"/>
  <c r="X31" i="26"/>
  <c r="X35" i="26"/>
  <c r="X42" i="26"/>
  <c r="X45" i="26"/>
  <c r="X44" i="26"/>
  <c r="X38" i="26"/>
  <c r="X43" i="26"/>
  <c r="X30" i="26"/>
  <c r="AC32" i="26"/>
  <c r="AC42" i="26"/>
  <c r="AC23" i="26"/>
  <c r="AC24" i="26"/>
  <c r="AC26" i="26"/>
  <c r="AC44" i="26"/>
  <c r="AC52" i="26"/>
  <c r="AC43" i="26"/>
  <c r="AC53" i="26"/>
  <c r="Y42" i="26"/>
  <c r="Y39" i="26"/>
  <c r="Y46" i="26"/>
  <c r="Y32" i="26"/>
  <c r="Y33" i="26"/>
  <c r="Y53" i="26"/>
  <c r="Y48" i="26"/>
  <c r="Y35" i="26"/>
  <c r="Y34" i="26"/>
  <c r="Y43" i="26"/>
  <c r="Y51" i="26"/>
  <c r="Y37" i="26"/>
  <c r="Y45" i="26"/>
  <c r="Y47" i="26"/>
  <c r="Y50" i="26"/>
  <c r="Y49" i="26"/>
  <c r="Y41" i="26"/>
  <c r="Y38" i="26"/>
  <c r="Y36" i="26"/>
  <c r="Y31" i="26"/>
  <c r="Y44" i="26"/>
  <c r="Y40" i="26"/>
  <c r="Y52" i="26"/>
  <c r="Z40" i="26"/>
  <c r="AA29" i="26"/>
  <c r="Z47" i="26"/>
  <c r="AA53" i="26"/>
  <c r="Z46" i="26"/>
  <c r="Z32" i="26"/>
  <c r="Z41" i="26"/>
  <c r="Z48" i="26"/>
  <c r="AA31" i="26"/>
  <c r="AA20" i="26"/>
  <c r="Z33" i="26"/>
  <c r="AA32" i="26"/>
  <c r="Z50" i="26"/>
  <c r="Z26" i="26"/>
  <c r="AA25" i="26"/>
  <c r="AA36" i="26"/>
  <c r="AA44" i="26"/>
  <c r="Z27" i="26"/>
  <c r="AA52" i="26"/>
  <c r="AA41" i="26"/>
  <c r="Z35" i="26"/>
  <c r="AA21" i="26"/>
  <c r="Z43" i="26"/>
  <c r="Z36" i="26"/>
  <c r="Z42" i="26"/>
  <c r="AA23" i="26"/>
  <c r="AA45" i="26"/>
  <c r="Z51" i="26"/>
  <c r="Z44" i="26"/>
  <c r="AA39" i="26"/>
  <c r="Z29" i="26"/>
  <c r="Z52" i="26"/>
  <c r="AA35" i="26"/>
  <c r="AA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Q8" i="20" l="1"/>
  <c r="N9" i="20"/>
  <c r="I13" i="23"/>
  <c r="AB53" i="26"/>
  <c r="AB29" i="26"/>
  <c r="AB51" i="26"/>
  <c r="AB45" i="26"/>
  <c r="AB30" i="26"/>
  <c r="AB52" i="26"/>
  <c r="AB35" i="26"/>
  <c r="AB27" i="26"/>
  <c r="AB38" i="26"/>
  <c r="AB36" i="26"/>
  <c r="AB34" i="26"/>
  <c r="AB28" i="26"/>
  <c r="AB42" i="26"/>
  <c r="B5" i="20"/>
  <c r="A2" i="26"/>
  <c r="AC51" i="26"/>
  <c r="AC34" i="26"/>
  <c r="AC33" i="26"/>
  <c r="AC35" i="26"/>
  <c r="AC50" i="26"/>
  <c r="AC41" i="26"/>
  <c r="AA48" i="26"/>
  <c r="AA27" i="26"/>
  <c r="AA40" i="26"/>
  <c r="AA24" i="26"/>
  <c r="AA42" i="26"/>
  <c r="AA49" i="26"/>
  <c r="AA26" i="26"/>
  <c r="AA30" i="26"/>
  <c r="AA50" i="26"/>
  <c r="AA46" i="26"/>
  <c r="AA38" i="26"/>
  <c r="AA51" i="26"/>
  <c r="AA28" i="26"/>
  <c r="AA34" i="26"/>
  <c r="AA33" i="26"/>
  <c r="AA22" i="26"/>
  <c r="AA47" i="26"/>
  <c r="AA37" i="26"/>
  <c r="Z53" i="26"/>
  <c r="Z49" i="26"/>
  <c r="Z34" i="26"/>
  <c r="Z37" i="26"/>
  <c r="Z39" i="26"/>
  <c r="Z28" i="26"/>
  <c r="Z38" i="26"/>
  <c r="Z45" i="26"/>
  <c r="Z31" i="26"/>
  <c r="Z30" i="26"/>
  <c r="W41" i="26"/>
  <c r="W37" i="26"/>
  <c r="W49" i="26"/>
  <c r="W34" i="26"/>
  <c r="W52" i="26"/>
  <c r="W42" i="26"/>
  <c r="W32" i="26"/>
  <c r="W43" i="26"/>
  <c r="W51" i="26"/>
  <c r="W44" i="26"/>
  <c r="W39" i="26"/>
  <c r="W48" i="26"/>
  <c r="W45" i="26"/>
  <c r="W29" i="26"/>
  <c r="W30" i="26"/>
  <c r="W47" i="26"/>
  <c r="W36" i="26"/>
  <c r="W40" i="26"/>
  <c r="W35" i="26"/>
  <c r="W31" i="26"/>
  <c r="W50" i="26"/>
  <c r="W33" i="26"/>
  <c r="W38" i="26"/>
  <c r="W53" i="26"/>
  <c r="W46" i="26"/>
  <c r="A3" i="26"/>
  <c r="D5" i="20"/>
  <c r="BK9" i="20" l="1"/>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<sst xmlns="http://schemas.openxmlformats.org/spreadsheetml/2006/main" count="532" uniqueCount="265">
  <si>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</si>
  <si>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</si>
  <si>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</si>
  <si>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</si>
  <si>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</si>
  <si>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</si>
  <si>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</si>
  <si>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</si>
  <si>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</si>
  <si>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</si>
  <si>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</si>
  <si>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</si>
  <si>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</si>
  <si>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</si>
  <si>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</si>
  <si>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</si>
  <si>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</si>
  <si>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</si>
  <si>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</si>
  <si>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</si>
  <si>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</si>
  <si>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</si>
  <si>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</si>
  <si>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</si>
  <si>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</si>
  <si>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</si>
  <si>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</si>
  <si>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</si>
  <si>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</si>
  <si>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</si>
  <si>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</si>
  <si>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</si>
  <si>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</si>
  <si>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</si>
  <si>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</si>
  <si>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</si>
  <si>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</si>
  <si>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</si>
  <si>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</si>
  <si>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</si>
  <si>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</si>
  <si>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</si>
  <si>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</si>
  <si>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</si>
  <si>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</si>
  <si>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</si>
  <si>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</si>
  <si>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</si>
  <si>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</si>
  <si>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</si>
  <si>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</si>
  <si>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</si>
  <si>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</si>
  <si>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</si>
  <si>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</si>
  <si>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</si>
  <si>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</si>
  <si>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</si>
  <si>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</si>
  <si>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</si>
  <si>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</si>
  <si>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</si>
  <si>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</si>
  <si>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</si>
  <si>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</si>
  <si>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</si>
  <si>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</si>
  <si>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</si>
  <si>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</si>
  <si>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</si>
  <si>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</si>
  <si>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</si>
  <si>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</si>
  <si>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</si>
  <si>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</si>
  <si>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</si>
  <si>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</si>
  <si>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</si>
  <si>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</si>
  <si>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</si>
  <si>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</si>
  <si>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</si>
  <si>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</si>
  <si>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</si>
  <si>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</si>
  <si>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</si>
  <si>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</si>
  <si>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</si>
  <si>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</si>
  <si>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</si>
  <si>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</si>
  <si>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</si>
  <si>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workout_targets_intervals</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</si>
  <si>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</si>
  <si>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</si>
  <si>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</si>
  <si>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</si>
  <si>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</si>
  <si>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</si>
  <si>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</si>
  <si>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</si>
  <si>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</si>
  <si>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</si>
  <si>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</si>
  <si>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</si>
  <si>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</si>
  <si>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</si>
  <si>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</si>
  <si>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</si>
  <si>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</si>
  <si>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</si>
  <si>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</si>
  <si>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</si>
  <si>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</si>
  <si>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</si>
  <si>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</si>
  <si>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</si>
  <si>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</si>
  <si>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</si>
  <si>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</si>
  <si>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</si>
  <si>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</si>
  <si>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</si>
  <si>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</si>
  <si>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</si>
  <si>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</si>
  <si>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</si>
  <si>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</si>
  <si>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</si>
  <si>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</si>
  <si>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</si>
  <si>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</si>
  <si>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</si>
  <si>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</si>
  <si>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</si>
  <si>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</si>
  <si>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</si>
  <si>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</si>
  <si>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</si>
  <si>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</si>
  <si>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</si>
  <si>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</si>
  <si>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</si>
  <si>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</si>
  <si>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</si>
  <si>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</si>
  <si>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</si>
  <si>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</si>
  <si>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</si>
  <si>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</si>
  <si>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</si>
  <si>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</si>
  <si>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</si>
  <si>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</si>
  <si>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</si>
  <si>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</si>
  <si>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</si>
  <si>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</si>
  <si>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</si>
  <si>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</si>
  <si>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</si>
  <si>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</si>
  <si>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</si>
  <si>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</si>
  <si>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</si>
  <si>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</si>
  <si>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</si>
  <si>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</si>
  <si>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</si>
  <si>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</si>
  <si>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</si>
  <si>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</si>
  <si>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</si>
  <si>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</si>
  <si>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</si>
  <si>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1-2</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</si>
  <si>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</si>
  <si>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</si>
  <si>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</si>
  <si>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</si>
  <si>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</si>
  <si>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</si>
  <si>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</si>
  <si>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</si>
  <si>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</si>
  <si>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</si>
  <si>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</si>
  <si>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</si>
  <si>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</si>
  <si>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</si>
  <si>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</si>
  <si>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</si>
  <si>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</si>
  <si>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</si>
  <si>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</si>
  <si>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</si>
  <si>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</si>
  <si>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</si>
  <si>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</si>
  <si>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</si>
  <si>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</si>
  <si>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</si>
  <si>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</si>
  <si>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</si>
  <si>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</si>
  <si>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</si>
  <si>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</si>
  <si>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</si>
  <si>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</si>
  <si>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</si>
  <si>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</si>
  <si>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</si>
  <si>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</si>
  <si>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</si>
  <si>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</si>
  <si>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</si>
  <si>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</si>
  <si>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</si>
  <si>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</si>
  <si>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</si>
  <si>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</si>
  <si>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</si>
  <si>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</si>
  <si>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</si>
  <si>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</si>
  <si>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</si>
  <si>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</si>
  <si>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</si>
  <si>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</si>
  <si>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</si>
  <si>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</si>
  <si>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</si>
  <si>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</si>
  <si>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</si>
  <si>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</si>
  <si>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</si>
  <si>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</si>
  <si>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Swim_time</t>
  </si>
  <si>
    <t>Swim_distance</t>
  </si>
  <si>
    <t>Ride_distance</t>
  </si>
  <si>
    <t>Run_time</t>
  </si>
  <si>
    <t>Run_distance</t>
  </si>
  <si>
    <t>TrailRun_time</t>
  </si>
  <si>
    <t>TrailRun_distance</t>
  </si>
  <si>
    <t>Ride_time</t>
  </si>
  <si>
    <t>De 42e editie Kwart(je) &amp; Trio Triathlon Anna Paulowna</t>
  </si>
  <si>
    <t>Crostriatlon Renkum (Rijntocht)</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</si>
  <si>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</si>
  <si>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</si>
  <si>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</si>
  <si>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</si>
  <si>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</si>
  <si>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</si>
  <si>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</si>
  <si>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</si>
  <si>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</si>
  <si>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</si>
  <si>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</si>
  <si>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</si>
  <si>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</si>
  <si>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</si>
  <si>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</si>
  <si>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</si>
  <si>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6h2idbsxeETC</t>
  </si>
  <si>
    <t>i111ETC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</si>
</sst>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5">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s>
  <cellStyleXfs count="1">
    <xf numFmtId="0" fontId="0" fillId="0" borderId="0"/>
  </cellStyleXfs>
  <cellXfs count="266">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50" xfId="0" applyNumberFormat="1" applyFill="1" applyBorder="1" applyProtection="1">
      <protection locked="0"/>
    </xf>
    <xf numFmtId="0" fontId="0" fillId="2" borderId="50"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9"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46" xfId="0" applyBorder="1" applyAlignment="1">
      <alignment textRotation="90"/>
    </xf>
    <xf numFmtId="0" fontId="0" fillId="0" borderId="47" xfId="0" applyBorder="1" applyAlignment="1">
      <alignment textRotation="90"/>
    </xf>
    <xf numFmtId="0" fontId="0" fillId="0" borderId="48" xfId="0" applyBorder="1" applyAlignment="1">
      <alignment textRotation="90"/>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9"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0" borderId="46" xfId="0" applyBorder="1" applyAlignment="1">
      <alignment horizontal="center" textRotation="9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9"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47" xfId="0" applyFont="1" applyFill="1" applyBorder="1" applyAlignment="1">
      <alignment textRotation="90"/>
    </xf>
    <xf numFmtId="0" fontId="1" fillId="10" borderId="48"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50"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14" fontId="1" fillId="0" borderId="36" xfId="0" applyNumberFormat="1" applyFont="1" applyBorder="1"/>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9"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4" xfId="0" applyFill="1" applyBorder="1" applyAlignment="1" applyProtection="1">
      <alignment horizontal="center" vertical="center" wrapText="1"/>
      <protection locked="0"/>
    </xf>
    <xf numFmtId="0" fontId="0" fillId="10" borderId="26" xfId="0" applyFill="1" applyBorder="1" applyAlignment="1" applyProtection="1">
      <alignment horizontal="center" vertical="center" wrapText="1"/>
      <protection locked="0"/>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9" xfId="0" applyBorder="1" applyAlignment="1">
      <alignment horizontal="center" textRotation="90"/>
    </xf>
    <xf numFmtId="0" fontId="0" fillId="0" borderId="37" xfId="0" applyBorder="1" applyAlignment="1">
      <alignment horizontal="center" textRotation="90"/>
    </xf>
    <xf numFmtId="0" fontId="0" fillId="0" borderId="43" xfId="0" applyBorder="1" applyAlignment="1">
      <alignment horizontal="center" vertical="center"/>
    </xf>
    <xf numFmtId="0" fontId="0" fillId="0" borderId="8" xfId="0" applyBorder="1" applyAlignment="1">
      <alignment horizontal="center" vertical="center"/>
    </xf>
    <xf numFmtId="0" fontId="0" fillId="0" borderId="52"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3"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4"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Border="1" applyAlignment="1">
      <alignment horizontal="center" vertical="center"/>
    </xf>
    <xf numFmtId="16" fontId="0" fillId="0" borderId="0" xfId="0" applyNumberFormat="1" applyBorder="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0" xfId="0" applyBorder="1"/>
    <xf numFmtId="0" fontId="0" fillId="0" borderId="6" xfId="0" applyBorder="1" applyAlignment="1">
      <alignment horizontal="center" vertical="center"/>
    </xf>
    <xf numFmtId="0" fontId="0" fillId="0" borderId="50" xfId="0" applyBorder="1" applyAlignment="1">
      <alignment horizontal="center" vertical="center"/>
    </xf>
    <xf numFmtId="49" fontId="0" fillId="0" borderId="50" xfId="0" applyNumberFormat="1" applyBorder="1" applyAlignment="1">
      <alignment horizontal="center" vertical="center"/>
    </xf>
    <xf numFmtId="0" fontId="13" fillId="0" borderId="50"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 xfId="0" applyBorder="1" applyAlignment="1">
      <alignment horizontal="center"/>
    </xf>
    <xf numFmtId="0" fontId="0" fillId="0" borderId="39" xfId="0" applyBorder="1" applyAlignment="1">
      <alignment horizontal="center"/>
    </xf>
    <xf numFmtId="0" fontId="0" fillId="0" borderId="24" xfId="0" applyBorder="1"/>
    <xf numFmtId="0" fontId="0" fillId="0" borderId="25" xfId="0" applyBorder="1"/>
    <xf numFmtId="1" fontId="2" fillId="0" borderId="49" xfId="0" applyNumberFormat="1" applyFont="1" applyBorder="1"/>
    <xf numFmtId="1" fontId="0" fillId="4" borderId="49" xfId="0" applyNumberFormat="1" applyFill="1" applyBorder="1"/>
    <xf numFmtId="1" fontId="0" fillId="6" borderId="36" xfId="0" applyNumberFormat="1" applyFill="1" applyBorder="1"/>
    <xf numFmtId="1" fontId="0" fillId="7" borderId="36" xfId="0" applyNumberFormat="1" applyFill="1" applyBorder="1"/>
    <xf numFmtId="1" fontId="0" fillId="8" borderId="36" xfId="0" applyNumberFormat="1" applyFill="1" applyBorder="1"/>
    <xf numFmtId="1" fontId="0" fillId="4" borderId="36" xfId="0" applyNumberFormat="1" applyFill="1" applyBorder="1"/>
    <xf numFmtId="1" fontId="0" fillId="9" borderId="37" xfId="0" applyNumberFormat="1" applyFill="1" applyBorder="1"/>
  </cellXfs>
  <cellStyles count="1">
    <cellStyle name="Standaard" xfId="0" builtinId="0"/>
  </cellStyles>
  <dxfs count="41">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31750</xdr:colOff>
      <xdr:row>12</xdr:row>
      <xdr:rowOff>127000</xdr:rowOff>
    </xdr:from>
    <xdr:to>
      <xdr:col>2</xdr:col>
      <xdr:colOff>44450</xdr:colOff>
      <xdr:row>23</xdr:row>
      <xdr:rowOff>177800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U53" totalsRowShown="0" headerRowDxfId="40">
  <autoFilter ref="A1:U53" xr:uid="{F1C1B9F8-3D16-4B8C-981C-7E965D7954CD}"/>
  <tableColumns count="21">
    <tableColumn id="1" xr3:uid="{6FBDC204-CA0D-4174-A0F1-8382C56AAF75}" name="start_date_local" dataDxfId="39">
      <calculatedColumnFormula>IF(ATP_fill!C5=0,"",ATP_fill!C5)</calculatedColumnFormula>
    </tableColumn>
    <tableColumn id="2" xr3:uid="{0605BA30-D105-4B6C-9062-C995698FD422}" name="period" dataDxfId="38">
      <calculatedColumnFormula>ATP_fill!I5</calculatedColumnFormula>
    </tableColumn>
    <tableColumn id="3" xr3:uid="{F93C261F-A226-4DD1-97D4-19369F73DC1E}" name="race" dataDxfId="37">
      <calculatedColumnFormula>ATP_fill!E5</calculatedColumnFormula>
    </tableColumn>
    <tableColumn id="4" xr3:uid="{E7470105-BF59-45C8-9CBE-5DA9D1C8B43A}" name="cat" dataDxfId="36">
      <calculatedColumnFormula>ATP_fill!F5</calculatedColumnFormula>
    </tableColumn>
    <tableColumn id="5" xr3:uid="{A4902753-2C2B-40CC-B262-42BED7F1EA5B}" name="race_date" dataDxfId="35">
      <calculatedColumnFormula>ATP_fill!G5</calculatedColumnFormula>
    </tableColumn>
    <tableColumn id="22" xr3:uid="{6C95E3F6-1DA8-469B-9FA6-4AFDBE6886DC}" name="test" dataDxfId="34">
      <calculatedColumnFormula>ATP_fill!AZ5</calculatedColumnFormula>
    </tableColumn>
    <tableColumn id="7" xr3:uid="{357C4825-B9DF-4163-B759-FF295B21790C}" name="Weight Lifting" dataDxfId="33">
      <calculatedColumnFormula>ATP_fill!AE5</calculatedColumnFormula>
    </tableColumn>
    <tableColumn id="8" xr3:uid="{ACA1D629-3369-4596-88A2-8544B1BE82D0}" name="Aerobic Endurance" dataDxfId="32">
      <calculatedColumnFormula>ATP_fill!AF5</calculatedColumnFormula>
    </tableColumn>
    <tableColumn id="9" xr3:uid="{0836B354-6B0E-49F0-B47E-AF9890E8BCFC}" name="Muscular force" dataDxfId="31">
      <calculatedColumnFormula>ATP_fill!AG5</calculatedColumnFormula>
    </tableColumn>
    <tableColumn id="10" xr3:uid="{E1AB75AA-AEDF-4B82-A6C7-345D30119544}" name="Speed Skills" dataDxfId="30">
      <calculatedColumnFormula>ATP_fill!AH5</calculatedColumnFormula>
    </tableColumn>
    <tableColumn id="11" xr3:uid="{A37BD6EB-0E9C-497A-B262-7F98AB437CE0}" name="Muscular Endurance" dataDxfId="29">
      <calculatedColumnFormula>ATP_fill!AI5</calculatedColumnFormula>
    </tableColumn>
    <tableColumn id="12" xr3:uid="{D19C7810-8C16-4607-B01F-004C5510E0FC}" name="Anaerobic Endurance" dataDxfId="28">
      <calculatedColumnFormula>ATP_fill!AJ5</calculatedColumnFormula>
    </tableColumn>
    <tableColumn id="13" xr3:uid="{420AD741-BEBC-4A51-8EB6-32F1714BA801}" name="Sprint Power" dataDxfId="27">
      <calculatedColumnFormula>ATP_fill!AK5</calculatedColumnFormula>
    </tableColumn>
    <tableColumn id="14" xr3:uid="{F6281E1C-E5AE-42D4-B24B-C02D98905304}" name="Swim_time" dataDxfId="26">
      <calculatedColumnFormula>ATP_fill!BB5</calculatedColumnFormula>
    </tableColumn>
    <tableColumn id="15" xr3:uid="{2ACB4454-7BFB-444F-BAF7-AE23F197CEB4}" name="Swim_distance" dataDxfId="25">
      <calculatedColumnFormula>ATP_fill!BC5</calculatedColumnFormula>
    </tableColumn>
    <tableColumn id="16" xr3:uid="{DCD8153C-9252-44FD-960E-CF12B1294561}" name="Ride_time" dataDxfId="24">
      <calculatedColumnFormula>ATP_fill!BD5</calculatedColumnFormula>
    </tableColumn>
    <tableColumn id="17" xr3:uid="{4D633CC5-44B4-46B0-8B54-F01DA7A019D4}" name="Ride_distance" dataDxfId="23">
      <calculatedColumnFormula>ATP_fill!BE5</calculatedColumnFormula>
    </tableColumn>
    <tableColumn id="18" xr3:uid="{5BD79CF7-3B9A-443C-BBD8-972C9F4447AA}" name="Run_time" dataDxfId="22">
      <calculatedColumnFormula>ATP_fill!BF5</calculatedColumnFormula>
    </tableColumn>
    <tableColumn id="19" xr3:uid="{F35A0C8E-D63B-4845-9185-1E11CC352B72}" name="Run_distance" dataDxfId="21">
      <calculatedColumnFormula>ATP_fill!BG5</calculatedColumnFormula>
    </tableColumn>
    <tableColumn id="20" xr3:uid="{0616FEF9-7D31-4FC4-9F04-6991FB5F64C0}" name="TrailRun_time" dataDxfId="20">
      <calculatedColumnFormula>ATP_fill!BH5</calculatedColumnFormula>
    </tableColumn>
    <tableColumn id="21" xr3:uid="{C60C206A-2265-4945-BDA6-1B39F6F3D5A1}" name="TrailRun_distance" dataDxfId="19">
      <calculatedColumnFormula>ATP_fill!BI5</calculatedColumnFormula>
    </tableColumn>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B7" sqref="B7"/>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6" t="s">
        <v>34</v>
      </c>
      <c r="B1" s="157" t="s">
        <v>35</v>
      </c>
    </row>
    <row r="2" spans="1:3" x14ac:dyDescent="0.35">
      <c r="A2" s="158" t="s">
        <v>40</v>
      </c>
      <c r="B2" s="159" t="s">
        <v>38</v>
      </c>
      <c r="C2" s="160" t="s">
        <v>250</v>
      </c>
    </row>
    <row r="3" spans="1:3" x14ac:dyDescent="0.35">
      <c r="A3" s="5" t="s">
        <v>38</v>
      </c>
      <c r="B3" s="154" t="s">
        <v>263</v>
      </c>
      <c r="C3" s="161" t="s">
        <v>247</v>
      </c>
    </row>
    <row r="4" spans="1:3" x14ac:dyDescent="0.35">
      <c r="A4" s="5" t="s">
        <v>41</v>
      </c>
      <c r="B4" s="154" t="s">
        <v>264</v>
      </c>
      <c r="C4" s="161" t="s">
        <v>248</v>
      </c>
    </row>
    <row r="5" spans="1:3" x14ac:dyDescent="0.35">
      <c r="A5" s="5" t="s">
        <v>36</v>
      </c>
      <c r="B5" s="154" t="s">
        <v>37</v>
      </c>
      <c r="C5" s="161" t="s">
        <v>251</v>
      </c>
    </row>
    <row r="6" spans="1:3" x14ac:dyDescent="0.35">
      <c r="A6" s="5" t="s">
        <v>63</v>
      </c>
      <c r="B6" s="154" t="s">
        <v>43</v>
      </c>
      <c r="C6" s="161" t="s">
        <v>249</v>
      </c>
    </row>
    <row r="7" spans="1:3" x14ac:dyDescent="0.35">
      <c r="A7" s="5" t="s">
        <v>57</v>
      </c>
      <c r="B7" s="154" t="s">
        <v>50</v>
      </c>
      <c r="C7" s="161" t="s">
        <v>249</v>
      </c>
    </row>
    <row r="8" spans="1:3" ht="15" thickBot="1" x14ac:dyDescent="0.4">
      <c r="A8" s="6" t="s">
        <v>253</v>
      </c>
      <c r="B8" s="155" t="s">
        <v>51</v>
      </c>
      <c r="C8" s="162" t="s">
        <v>252</v>
      </c>
    </row>
    <row r="9" spans="1:3" x14ac:dyDescent="0.35">
      <c r="A9" s="47"/>
      <c r="B9" s="48"/>
    </row>
    <row r="12" spans="1:3" ht="15" thickBot="1" x14ac:dyDescent="0.4"/>
    <row r="13" spans="1:3" x14ac:dyDescent="0.35">
      <c r="A13" s="186" t="s">
        <v>52</v>
      </c>
      <c r="B13" s="187"/>
    </row>
    <row r="14" spans="1:3" x14ac:dyDescent="0.35">
      <c r="A14" s="188"/>
      <c r="B14" s="189"/>
    </row>
    <row r="15" spans="1:3" x14ac:dyDescent="0.35">
      <c r="A15" s="188"/>
      <c r="B15" s="189"/>
    </row>
    <row r="16" spans="1:3" x14ac:dyDescent="0.35">
      <c r="A16" s="188"/>
      <c r="B16" s="189"/>
    </row>
    <row r="17" spans="1:2" x14ac:dyDescent="0.35">
      <c r="A17" s="188"/>
      <c r="B17" s="189"/>
    </row>
    <row r="18" spans="1:2" x14ac:dyDescent="0.35">
      <c r="A18" s="188"/>
      <c r="B18" s="189"/>
    </row>
    <row r="19" spans="1:2" x14ac:dyDescent="0.35">
      <c r="A19" s="188"/>
      <c r="B19" s="189"/>
    </row>
    <row r="20" spans="1:2" x14ac:dyDescent="0.35">
      <c r="A20" s="188"/>
      <c r="B20" s="189"/>
    </row>
    <row r="21" spans="1:2" ht="15" thickBot="1" x14ac:dyDescent="0.4">
      <c r="A21" s="190"/>
      <c r="B21" s="191"/>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C6" sqref="C6"/>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57"/>
      <c r="N1" s="258"/>
      <c r="O1" s="255" t="s">
        <v>79</v>
      </c>
      <c r="P1" s="255"/>
      <c r="Q1" s="255"/>
      <c r="R1" s="255"/>
      <c r="S1" s="255"/>
      <c r="T1" s="255"/>
      <c r="U1" s="255"/>
      <c r="V1" s="255"/>
      <c r="W1" s="255"/>
      <c r="X1" s="255"/>
      <c r="Y1" s="255"/>
      <c r="Z1" s="255"/>
      <c r="AA1" s="255"/>
      <c r="AB1" s="255"/>
      <c r="AC1" s="255"/>
      <c r="AD1" s="255"/>
      <c r="AE1" s="255"/>
      <c r="AF1" s="255"/>
      <c r="AG1" s="255"/>
      <c r="AH1" s="256"/>
    </row>
    <row r="2" spans="2:34" ht="15" thickBot="1" x14ac:dyDescent="0.4">
      <c r="B2" s="181" t="s">
        <v>54</v>
      </c>
      <c r="C2" s="182"/>
      <c r="D2" s="183"/>
      <c r="G2" s="1"/>
      <c r="I2" t="s">
        <v>26</v>
      </c>
      <c r="J2" t="s">
        <v>70</v>
      </c>
      <c r="K2" t="s">
        <v>11</v>
      </c>
      <c r="L2" t="s">
        <v>78</v>
      </c>
      <c r="M2" s="19" t="s">
        <v>70</v>
      </c>
      <c r="N2" s="29">
        <f>C6</f>
        <v>22500</v>
      </c>
      <c r="O2" s="259" t="s">
        <v>262</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261</v>
      </c>
      <c r="C3" s="164">
        <v>46020</v>
      </c>
      <c r="D3" s="59" t="str">
        <f>IF(WEEKDAY(C3,11)&gt;1,"Not a Monday!","ATP starts on a Monday: OK! ")</f>
        <v xml:space="preserve">ATP starts on a Monday: OK! </v>
      </c>
      <c r="G3" s="1"/>
      <c r="I3" s="16">
        <v>2</v>
      </c>
      <c r="J3" s="16" t="s">
        <v>69</v>
      </c>
      <c r="K3" s="16"/>
      <c r="L3" s="16">
        <v>62.5</v>
      </c>
      <c r="M3" s="37" t="str">
        <f>J3</f>
        <v>Prep</v>
      </c>
      <c r="N3" s="38">
        <f>MROUND(HLOOKUP($N$2,$O$2:$AH$29,I3),10)</f>
        <v>360</v>
      </c>
      <c r="O3" s="260">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x14ac:dyDescent="0.35">
      <c r="B4" s="165" t="s">
        <v>254</v>
      </c>
      <c r="C4" s="163">
        <v>52</v>
      </c>
      <c r="D4" s="165" t="s">
        <v>255</v>
      </c>
      <c r="G4" s="1"/>
      <c r="I4" s="13">
        <f t="shared" ref="I4:I27" si="2">I3+1</f>
        <v>3</v>
      </c>
      <c r="J4" s="13" t="s">
        <v>71</v>
      </c>
      <c r="K4" s="13">
        <v>1</v>
      </c>
      <c r="L4" s="13">
        <v>53.571428571428569</v>
      </c>
      <c r="M4" s="22" t="str">
        <f t="shared" ref="M4:M22" si="3">J4&amp;"-"&amp;K4</f>
        <v>Base 1-1</v>
      </c>
      <c r="N4" s="23">
        <f t="shared" ref="N4:N27" si="4">MROUND(HLOOKUP($N$2,$O$2:$AH$29,I4),10)</f>
        <v>420</v>
      </c>
      <c r="O4" s="261">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x14ac:dyDescent="0.35">
      <c r="B5" s="60" t="s">
        <v>68</v>
      </c>
      <c r="C5" s="185">
        <f>C3+(C4*7)</f>
        <v>46384</v>
      </c>
      <c r="D5" s="60" t="str">
        <f>IF(WEEKDAY(C5,11)&gt;1,"Not a Monday!","ATP ends on a Monday: OK! ")</f>
        <v xml:space="preserve">ATP ends on a Monday: OK! </v>
      </c>
      <c r="G5" s="1"/>
      <c r="I5" s="13">
        <f t="shared" si="2"/>
        <v>4</v>
      </c>
      <c r="J5" s="13" t="s">
        <v>71</v>
      </c>
      <c r="K5" s="13">
        <v>2</v>
      </c>
      <c r="L5" s="13">
        <v>48.387096774193552</v>
      </c>
      <c r="M5" s="22" t="str">
        <f t="shared" si="3"/>
        <v>Base 1-2</v>
      </c>
      <c r="N5" s="23">
        <f t="shared" si="4"/>
        <v>460</v>
      </c>
      <c r="O5" s="261">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8">
        <v>22500</v>
      </c>
      <c r="D6" s="60" t="s">
        <v>82</v>
      </c>
      <c r="G6" s="1"/>
      <c r="I6" s="13">
        <f t="shared" si="2"/>
        <v>5</v>
      </c>
      <c r="J6" s="13" t="s">
        <v>71</v>
      </c>
      <c r="K6" s="13">
        <v>3</v>
      </c>
      <c r="L6" s="13">
        <v>42.857142857142854</v>
      </c>
      <c r="M6" s="22" t="str">
        <f t="shared" si="3"/>
        <v>Base 1-3</v>
      </c>
      <c r="N6" s="23">
        <f t="shared" si="4"/>
        <v>530</v>
      </c>
      <c r="O6" s="261">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93</v>
      </c>
      <c r="C7" s="168">
        <v>0</v>
      </c>
      <c r="D7" s="60" t="s">
        <v>87</v>
      </c>
      <c r="G7" s="1"/>
      <c r="I7" s="13">
        <f t="shared" si="2"/>
        <v>6</v>
      </c>
      <c r="J7" s="13" t="s">
        <v>71</v>
      </c>
      <c r="K7" s="13">
        <v>4</v>
      </c>
      <c r="L7" s="13">
        <v>62.5</v>
      </c>
      <c r="M7" s="22" t="str">
        <f t="shared" si="3"/>
        <v>Base 1-4</v>
      </c>
      <c r="N7" s="23">
        <f t="shared" si="4"/>
        <v>360</v>
      </c>
      <c r="O7" s="261">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x14ac:dyDescent="0.35">
      <c r="B8" s="61" t="s">
        <v>29</v>
      </c>
      <c r="C8" s="169">
        <v>70</v>
      </c>
      <c r="D8" s="61" t="s">
        <v>257</v>
      </c>
      <c r="G8" s="1"/>
      <c r="I8" s="14">
        <f>I7+1</f>
        <v>7</v>
      </c>
      <c r="J8" s="14" t="s">
        <v>72</v>
      </c>
      <c r="K8" s="14">
        <v>1</v>
      </c>
      <c r="L8" s="14">
        <v>51.724137931034484</v>
      </c>
      <c r="M8" s="24" t="str">
        <f t="shared" si="3"/>
        <v>Base 2-1</v>
      </c>
      <c r="N8" s="25">
        <f t="shared" si="4"/>
        <v>440</v>
      </c>
      <c r="O8" s="262">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84" t="s">
        <v>55</v>
      </c>
      <c r="C9" s="169">
        <f>C8/100</f>
        <v>0.7</v>
      </c>
      <c r="D9" s="184"/>
      <c r="G9" s="1"/>
      <c r="I9" s="14">
        <f t="shared" si="2"/>
        <v>8</v>
      </c>
      <c r="J9" s="14" t="s">
        <v>72</v>
      </c>
      <c r="K9" s="14">
        <v>2</v>
      </c>
      <c r="L9" s="14">
        <v>45.454545454545453</v>
      </c>
      <c r="M9" s="24" t="str">
        <f t="shared" si="3"/>
        <v>Base 2-2</v>
      </c>
      <c r="N9" s="25">
        <f t="shared" si="4"/>
        <v>500</v>
      </c>
      <c r="O9" s="262">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6" t="s">
        <v>256</v>
      </c>
      <c r="C10" s="167">
        <v>25</v>
      </c>
      <c r="D10" s="166" t="s">
        <v>80</v>
      </c>
      <c r="G10" s="1"/>
      <c r="I10" s="14">
        <f t="shared" si="2"/>
        <v>9</v>
      </c>
      <c r="J10" s="14" t="s">
        <v>72</v>
      </c>
      <c r="K10" s="14">
        <v>3</v>
      </c>
      <c r="L10" s="14">
        <v>40.54054054054054</v>
      </c>
      <c r="M10" s="24" t="str">
        <f t="shared" si="3"/>
        <v>Base 2-3</v>
      </c>
      <c r="N10" s="25">
        <f t="shared" si="4"/>
        <v>560</v>
      </c>
      <c r="O10" s="262">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52">
        <v>50</v>
      </c>
      <c r="D11" s="62" t="s">
        <v>81</v>
      </c>
      <c r="G11" s="1"/>
      <c r="I11" s="14">
        <f t="shared" si="2"/>
        <v>10</v>
      </c>
      <c r="J11" s="14" t="s">
        <v>72</v>
      </c>
      <c r="K11" s="14">
        <v>4</v>
      </c>
      <c r="L11" s="14">
        <v>62.5</v>
      </c>
      <c r="M11" s="24" t="str">
        <f t="shared" si="3"/>
        <v>Base 2-4</v>
      </c>
      <c r="N11" s="25">
        <f t="shared" si="4"/>
        <v>360</v>
      </c>
      <c r="O11" s="262">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192" t="s">
        <v>56</v>
      </c>
      <c r="G12" s="1"/>
      <c r="I12" s="13">
        <f t="shared" si="2"/>
        <v>11</v>
      </c>
      <c r="J12" s="13" t="s">
        <v>75</v>
      </c>
      <c r="K12" s="13">
        <v>1</v>
      </c>
      <c r="L12" s="13">
        <v>45.454545454545453</v>
      </c>
      <c r="M12" s="22" t="str">
        <f t="shared" si="3"/>
        <v>Base 3-1</v>
      </c>
      <c r="N12" s="23">
        <f t="shared" si="4"/>
        <v>500</v>
      </c>
      <c r="O12" s="261">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193"/>
      <c r="G13" s="1"/>
      <c r="I13" s="13">
        <f t="shared" si="2"/>
        <v>12</v>
      </c>
      <c r="J13" s="13" t="s">
        <v>75</v>
      </c>
      <c r="K13" s="13">
        <v>2</v>
      </c>
      <c r="L13" s="13">
        <v>40.54054054054054</v>
      </c>
      <c r="M13" s="22" t="str">
        <f t="shared" si="3"/>
        <v>Base 3-2</v>
      </c>
      <c r="N13" s="23">
        <f t="shared" si="4"/>
        <v>560</v>
      </c>
      <c r="O13" s="261">
        <v>300</v>
      </c>
      <c r="P13" s="13">
        <f t="shared" ref="O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193"/>
      <c r="G14" s="1"/>
      <c r="I14" s="13">
        <f t="shared" si="2"/>
        <v>13</v>
      </c>
      <c r="J14" s="13" t="s">
        <v>75</v>
      </c>
      <c r="K14" s="13">
        <v>3</v>
      </c>
      <c r="L14" s="13">
        <v>36.585365853658537</v>
      </c>
      <c r="M14" s="22" t="str">
        <f t="shared" si="3"/>
        <v>Base 3-3</v>
      </c>
      <c r="N14" s="23">
        <f t="shared" si="4"/>
        <v>620</v>
      </c>
      <c r="O14" s="261">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193"/>
      <c r="E15" s="18"/>
      <c r="F15" s="18"/>
      <c r="G15" s="1"/>
      <c r="H15" s="18"/>
      <c r="I15" s="13">
        <f t="shared" si="2"/>
        <v>14</v>
      </c>
      <c r="J15" s="13" t="s">
        <v>75</v>
      </c>
      <c r="K15" s="13">
        <v>4</v>
      </c>
      <c r="L15" s="13">
        <v>62.5</v>
      </c>
      <c r="M15" s="22" t="str">
        <f t="shared" si="3"/>
        <v>Base 3-4</v>
      </c>
      <c r="N15" s="23">
        <f t="shared" si="4"/>
        <v>360</v>
      </c>
      <c r="O15" s="261">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193"/>
      <c r="E16" s="18"/>
      <c r="F16" s="18"/>
      <c r="G16" s="1"/>
      <c r="H16" s="18"/>
      <c r="I16" s="14">
        <f t="shared" si="2"/>
        <v>15</v>
      </c>
      <c r="J16" s="14" t="s">
        <v>73</v>
      </c>
      <c r="K16" s="14">
        <v>1</v>
      </c>
      <c r="L16" s="14">
        <v>40.54054054054054</v>
      </c>
      <c r="M16" s="24" t="str">
        <f t="shared" si="3"/>
        <v>Build 1-1</v>
      </c>
      <c r="N16" s="25">
        <f t="shared" si="4"/>
        <v>560</v>
      </c>
      <c r="O16" s="262">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193"/>
      <c r="E17" s="18"/>
      <c r="F17" s="18"/>
      <c r="G17" s="1"/>
      <c r="H17" s="18"/>
      <c r="I17" s="14">
        <f t="shared" si="2"/>
        <v>16</v>
      </c>
      <c r="J17" s="14" t="s">
        <v>73</v>
      </c>
      <c r="K17" s="14">
        <v>2</v>
      </c>
      <c r="L17" s="14">
        <v>40.54054054054054</v>
      </c>
      <c r="M17" s="24" t="str">
        <f t="shared" si="3"/>
        <v>Build 1-2</v>
      </c>
      <c r="N17" s="25">
        <f t="shared" si="4"/>
        <v>560</v>
      </c>
      <c r="O17" s="262">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194"/>
      <c r="E18" s="18"/>
      <c r="F18" s="18"/>
      <c r="G18" s="1"/>
      <c r="H18" s="18"/>
      <c r="I18" s="14">
        <f t="shared" si="2"/>
        <v>17</v>
      </c>
      <c r="J18" s="14" t="s">
        <v>73</v>
      </c>
      <c r="K18" s="14">
        <v>3</v>
      </c>
      <c r="L18" s="14">
        <v>40.54054054054054</v>
      </c>
      <c r="M18" s="24" t="str">
        <f t="shared" si="3"/>
        <v>Build 1-3</v>
      </c>
      <c r="N18" s="25">
        <f t="shared" si="4"/>
        <v>560</v>
      </c>
      <c r="O18" s="262">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360</v>
      </c>
      <c r="O19" s="262">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620</v>
      </c>
      <c r="O20" s="261">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620</v>
      </c>
      <c r="O21" s="261">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620</v>
      </c>
      <c r="O22" s="261">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360</v>
      </c>
      <c r="O23" s="261">
        <v>100</v>
      </c>
      <c r="P23" s="13">
        <f t="shared" ref="O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103</v>
      </c>
      <c r="N24" s="27">
        <f t="shared" si="4"/>
        <v>440</v>
      </c>
      <c r="O24" s="263">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104</v>
      </c>
      <c r="N25" s="27">
        <f t="shared" si="4"/>
        <v>360</v>
      </c>
      <c r="O25" s="263">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360</v>
      </c>
      <c r="O26" s="264">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230</v>
      </c>
      <c r="O27" s="265">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21" sqref="E21"/>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80" t="s">
        <v>90</v>
      </c>
      <c r="E2" s="9" t="s">
        <v>32</v>
      </c>
      <c r="F2" s="10" t="s">
        <v>33</v>
      </c>
      <c r="G2" s="49" t="str">
        <f>C2</f>
        <v>race_date</v>
      </c>
      <c r="J2" s="195" t="s">
        <v>260</v>
      </c>
      <c r="K2" s="196"/>
      <c r="L2" s="196"/>
      <c r="M2" s="196"/>
      <c r="N2" s="196"/>
      <c r="O2" s="196"/>
      <c r="P2" s="196"/>
      <c r="Q2" s="197"/>
    </row>
    <row r="3" spans="2:17" x14ac:dyDescent="0.35">
      <c r="B3" s="46">
        <v>1</v>
      </c>
      <c r="C3" s="53">
        <v>46151</v>
      </c>
      <c r="D3" s="179" t="str">
        <f t="shared" ref="D3:D35" si="0">IF(C3&gt;0,WEEKNUM(C3,2)&amp;"-"&amp;YEAR(C3),"")</f>
        <v>19-2026</v>
      </c>
      <c r="E3" s="54" t="s">
        <v>94</v>
      </c>
      <c r="F3" s="55" t="s">
        <v>2</v>
      </c>
      <c r="G3" s="50">
        <f t="shared" ref="G3:G34" si="1">C3</f>
        <v>46151</v>
      </c>
      <c r="J3" s="198"/>
      <c r="K3" s="199"/>
      <c r="L3" s="199"/>
      <c r="M3" s="199"/>
      <c r="N3" s="199"/>
      <c r="O3" s="199"/>
      <c r="P3" s="199"/>
      <c r="Q3" s="200"/>
    </row>
    <row r="4" spans="2:17" x14ac:dyDescent="0.35">
      <c r="B4" s="5">
        <v>2</v>
      </c>
      <c r="C4" s="56">
        <v>46179</v>
      </c>
      <c r="D4" s="179" t="str">
        <f t="shared" si="0"/>
        <v>23-2026</v>
      </c>
      <c r="E4" s="57" t="s">
        <v>95</v>
      </c>
      <c r="F4" s="44" t="s">
        <v>3</v>
      </c>
      <c r="G4" s="51">
        <f t="shared" si="1"/>
        <v>46179</v>
      </c>
      <c r="J4" s="198"/>
      <c r="K4" s="199"/>
      <c r="L4" s="199"/>
      <c r="M4" s="199"/>
      <c r="N4" s="199"/>
      <c r="O4" s="199"/>
      <c r="P4" s="199"/>
      <c r="Q4" s="200"/>
    </row>
    <row r="5" spans="2:17" x14ac:dyDescent="0.35">
      <c r="B5" s="5">
        <v>3</v>
      </c>
      <c r="C5" s="56">
        <v>46256</v>
      </c>
      <c r="D5" s="179" t="str">
        <f t="shared" si="0"/>
        <v>34-2026</v>
      </c>
      <c r="E5" s="57" t="s">
        <v>245</v>
      </c>
      <c r="F5" s="44" t="s">
        <v>0</v>
      </c>
      <c r="G5" s="51">
        <f t="shared" si="1"/>
        <v>46256</v>
      </c>
      <c r="J5" s="198"/>
      <c r="K5" s="199"/>
      <c r="L5" s="199"/>
      <c r="M5" s="199"/>
      <c r="N5" s="199"/>
      <c r="O5" s="199"/>
      <c r="P5" s="199"/>
      <c r="Q5" s="200"/>
    </row>
    <row r="6" spans="2:17" x14ac:dyDescent="0.35">
      <c r="B6" s="5">
        <v>4</v>
      </c>
      <c r="C6" s="56">
        <v>46263</v>
      </c>
      <c r="D6" s="179" t="str">
        <f t="shared" si="0"/>
        <v>35-2026</v>
      </c>
      <c r="E6" s="57" t="s">
        <v>246</v>
      </c>
      <c r="F6" s="44" t="s">
        <v>2</v>
      </c>
      <c r="G6" s="51">
        <f t="shared" si="1"/>
        <v>46263</v>
      </c>
      <c r="J6" s="198"/>
      <c r="K6" s="199"/>
      <c r="L6" s="199"/>
      <c r="M6" s="199"/>
      <c r="N6" s="199"/>
      <c r="O6" s="199"/>
      <c r="P6" s="199"/>
      <c r="Q6" s="200"/>
    </row>
    <row r="7" spans="2:17" x14ac:dyDescent="0.35">
      <c r="B7" s="5">
        <v>5</v>
      </c>
      <c r="C7" s="56"/>
      <c r="D7" s="179" t="str">
        <f t="shared" si="0"/>
        <v/>
      </c>
      <c r="E7" s="57"/>
      <c r="F7" s="44"/>
      <c r="G7" s="51">
        <f t="shared" si="1"/>
        <v>0</v>
      </c>
      <c r="J7" s="198"/>
      <c r="K7" s="199"/>
      <c r="L7" s="199"/>
      <c r="M7" s="199"/>
      <c r="N7" s="199"/>
      <c r="O7" s="199"/>
      <c r="P7" s="199"/>
      <c r="Q7" s="200"/>
    </row>
    <row r="8" spans="2:17" x14ac:dyDescent="0.35">
      <c r="B8" s="5">
        <v>6</v>
      </c>
      <c r="C8" s="56"/>
      <c r="D8" s="179" t="str">
        <f t="shared" si="0"/>
        <v/>
      </c>
      <c r="E8" s="57"/>
      <c r="F8" s="44"/>
      <c r="G8" s="51">
        <f t="shared" si="1"/>
        <v>0</v>
      </c>
      <c r="J8" s="198"/>
      <c r="K8" s="199"/>
      <c r="L8" s="199"/>
      <c r="M8" s="199"/>
      <c r="N8" s="199"/>
      <c r="O8" s="199"/>
      <c r="P8" s="199"/>
      <c r="Q8" s="200"/>
    </row>
    <row r="9" spans="2:17" x14ac:dyDescent="0.35">
      <c r="B9" s="5">
        <v>7</v>
      </c>
      <c r="C9" s="56"/>
      <c r="D9" s="179" t="str">
        <f t="shared" si="0"/>
        <v/>
      </c>
      <c r="E9" s="57"/>
      <c r="F9" s="44"/>
      <c r="G9" s="51">
        <f t="shared" si="1"/>
        <v>0</v>
      </c>
      <c r="J9" s="198"/>
      <c r="K9" s="199"/>
      <c r="L9" s="199"/>
      <c r="M9" s="199"/>
      <c r="N9" s="199"/>
      <c r="O9" s="199"/>
      <c r="P9" s="199"/>
      <c r="Q9" s="200"/>
    </row>
    <row r="10" spans="2:17" ht="15" thickBot="1" x14ac:dyDescent="0.4">
      <c r="B10" s="5">
        <v>8</v>
      </c>
      <c r="C10" s="56"/>
      <c r="D10" s="179" t="str">
        <f t="shared" si="0"/>
        <v/>
      </c>
      <c r="E10" s="57"/>
      <c r="F10" s="44"/>
      <c r="G10" s="51">
        <f t="shared" si="1"/>
        <v>0</v>
      </c>
      <c r="J10" s="201"/>
      <c r="K10" s="202"/>
      <c r="L10" s="202"/>
      <c r="M10" s="202"/>
      <c r="N10" s="202"/>
      <c r="O10" s="202"/>
      <c r="P10" s="202"/>
      <c r="Q10" s="203"/>
    </row>
    <row r="11" spans="2:17" x14ac:dyDescent="0.35">
      <c r="B11" s="5">
        <v>8</v>
      </c>
      <c r="C11" s="56"/>
      <c r="D11" s="179" t="str">
        <f t="shared" si="0"/>
        <v/>
      </c>
      <c r="E11" s="57"/>
      <c r="F11" s="44"/>
      <c r="G11" s="51">
        <f t="shared" si="1"/>
        <v>0</v>
      </c>
    </row>
    <row r="12" spans="2:17" x14ac:dyDescent="0.35">
      <c r="B12" s="5">
        <v>9</v>
      </c>
      <c r="C12" s="56"/>
      <c r="D12" s="179" t="str">
        <f t="shared" si="0"/>
        <v/>
      </c>
      <c r="E12" s="57"/>
      <c r="F12" s="44"/>
      <c r="G12" s="51">
        <f t="shared" si="1"/>
        <v>0</v>
      </c>
    </row>
    <row r="13" spans="2:17" x14ac:dyDescent="0.35">
      <c r="B13" s="5">
        <v>10</v>
      </c>
      <c r="C13" s="56"/>
      <c r="D13" s="179" t="str">
        <f t="shared" si="0"/>
        <v/>
      </c>
      <c r="E13" s="57"/>
      <c r="F13" s="44"/>
      <c r="G13" s="51">
        <f t="shared" si="1"/>
        <v>0</v>
      </c>
    </row>
    <row r="14" spans="2:17" x14ac:dyDescent="0.35">
      <c r="B14" s="5">
        <v>11</v>
      </c>
      <c r="C14" s="56"/>
      <c r="D14" s="179" t="str">
        <f t="shared" si="0"/>
        <v/>
      </c>
      <c r="E14" s="57"/>
      <c r="F14" s="44"/>
      <c r="G14" s="51">
        <f t="shared" si="1"/>
        <v>0</v>
      </c>
    </row>
    <row r="15" spans="2:17" x14ac:dyDescent="0.35">
      <c r="B15" s="5">
        <v>12</v>
      </c>
      <c r="C15" s="56"/>
      <c r="D15" s="179" t="str">
        <f t="shared" si="0"/>
        <v/>
      </c>
      <c r="E15" s="57"/>
      <c r="F15" s="44"/>
      <c r="G15" s="51">
        <f t="shared" si="1"/>
        <v>0</v>
      </c>
    </row>
    <row r="16" spans="2:17" x14ac:dyDescent="0.35">
      <c r="B16" s="5">
        <v>13</v>
      </c>
      <c r="C16" s="56"/>
      <c r="D16" s="179" t="str">
        <f t="shared" si="0"/>
        <v/>
      </c>
      <c r="E16" s="57"/>
      <c r="F16" s="44"/>
      <c r="G16" s="51">
        <f t="shared" si="1"/>
        <v>0</v>
      </c>
    </row>
    <row r="17" spans="2:7" x14ac:dyDescent="0.35">
      <c r="B17" s="5">
        <v>14</v>
      </c>
      <c r="C17" s="56"/>
      <c r="D17" s="179" t="str">
        <f t="shared" si="0"/>
        <v/>
      </c>
      <c r="E17" s="57"/>
      <c r="F17" s="44"/>
      <c r="G17" s="51">
        <f t="shared" si="1"/>
        <v>0</v>
      </c>
    </row>
    <row r="18" spans="2:7" x14ac:dyDescent="0.35">
      <c r="B18" s="5">
        <v>15</v>
      </c>
      <c r="C18" s="56"/>
      <c r="D18" s="179" t="str">
        <f t="shared" si="0"/>
        <v/>
      </c>
      <c r="E18" s="57"/>
      <c r="F18" s="44"/>
      <c r="G18" s="51">
        <f t="shared" si="1"/>
        <v>0</v>
      </c>
    </row>
    <row r="19" spans="2:7" x14ac:dyDescent="0.35">
      <c r="B19" s="5">
        <v>16</v>
      </c>
      <c r="C19" s="56"/>
      <c r="D19" s="179" t="str">
        <f t="shared" si="0"/>
        <v/>
      </c>
      <c r="E19" s="57"/>
      <c r="F19" s="44"/>
      <c r="G19" s="51">
        <f t="shared" si="1"/>
        <v>0</v>
      </c>
    </row>
    <row r="20" spans="2:7" x14ac:dyDescent="0.35">
      <c r="B20" s="5">
        <v>17</v>
      </c>
      <c r="C20" s="56"/>
      <c r="D20" s="179" t="str">
        <f t="shared" si="0"/>
        <v/>
      </c>
      <c r="E20" s="57"/>
      <c r="F20" s="44"/>
      <c r="G20" s="51">
        <f t="shared" si="1"/>
        <v>0</v>
      </c>
    </row>
    <row r="21" spans="2:7" x14ac:dyDescent="0.35">
      <c r="B21" s="5">
        <v>18</v>
      </c>
      <c r="C21" s="56"/>
      <c r="D21" s="179" t="str">
        <f t="shared" si="0"/>
        <v/>
      </c>
      <c r="E21" s="57"/>
      <c r="F21" s="44"/>
      <c r="G21" s="51">
        <f t="shared" si="1"/>
        <v>0</v>
      </c>
    </row>
    <row r="22" spans="2:7" x14ac:dyDescent="0.35">
      <c r="B22" s="5">
        <v>19</v>
      </c>
      <c r="C22" s="56"/>
      <c r="D22" s="179" t="str">
        <f t="shared" si="0"/>
        <v/>
      </c>
      <c r="E22" s="57"/>
      <c r="F22" s="44"/>
      <c r="G22" s="51">
        <f t="shared" si="1"/>
        <v>0</v>
      </c>
    </row>
    <row r="23" spans="2:7" x14ac:dyDescent="0.35">
      <c r="B23" s="5">
        <v>21</v>
      </c>
      <c r="C23" s="56"/>
      <c r="D23" s="179" t="str">
        <f t="shared" si="0"/>
        <v/>
      </c>
      <c r="E23" s="57"/>
      <c r="F23" s="44"/>
      <c r="G23" s="51">
        <f t="shared" si="1"/>
        <v>0</v>
      </c>
    </row>
    <row r="24" spans="2:7" x14ac:dyDescent="0.35">
      <c r="B24" s="5">
        <v>22</v>
      </c>
      <c r="C24" s="56"/>
      <c r="D24" s="179" t="str">
        <f t="shared" si="0"/>
        <v/>
      </c>
      <c r="E24" s="57"/>
      <c r="F24" s="44"/>
      <c r="G24" s="51">
        <f t="shared" si="1"/>
        <v>0</v>
      </c>
    </row>
    <row r="25" spans="2:7" x14ac:dyDescent="0.35">
      <c r="B25" s="5">
        <v>23</v>
      </c>
      <c r="C25" s="56"/>
      <c r="D25" s="179" t="str">
        <f t="shared" si="0"/>
        <v/>
      </c>
      <c r="E25" s="57"/>
      <c r="F25" s="44"/>
      <c r="G25" s="51">
        <f t="shared" si="1"/>
        <v>0</v>
      </c>
    </row>
    <row r="26" spans="2:7" x14ac:dyDescent="0.35">
      <c r="B26" s="5">
        <v>24</v>
      </c>
      <c r="C26" s="56"/>
      <c r="D26" s="179" t="str">
        <f t="shared" si="0"/>
        <v/>
      </c>
      <c r="E26" s="57"/>
      <c r="F26" s="44"/>
      <c r="G26" s="51">
        <f t="shared" si="1"/>
        <v>0</v>
      </c>
    </row>
    <row r="27" spans="2:7" x14ac:dyDescent="0.35">
      <c r="B27" s="5">
        <v>25</v>
      </c>
      <c r="C27" s="56"/>
      <c r="D27" s="179" t="str">
        <f t="shared" si="0"/>
        <v/>
      </c>
      <c r="E27" s="57"/>
      <c r="F27" s="44"/>
      <c r="G27" s="51">
        <f t="shared" si="1"/>
        <v>0</v>
      </c>
    </row>
    <row r="28" spans="2:7" x14ac:dyDescent="0.35">
      <c r="B28" s="5">
        <v>26</v>
      </c>
      <c r="C28" s="57"/>
      <c r="D28" s="179" t="str">
        <f t="shared" si="0"/>
        <v/>
      </c>
      <c r="E28" s="57"/>
      <c r="F28" s="44"/>
      <c r="G28" s="51">
        <f t="shared" si="1"/>
        <v>0</v>
      </c>
    </row>
    <row r="29" spans="2:7" x14ac:dyDescent="0.35">
      <c r="B29" s="5">
        <v>27</v>
      </c>
      <c r="C29" s="57"/>
      <c r="D29" s="179" t="str">
        <f t="shared" si="0"/>
        <v/>
      </c>
      <c r="E29" s="57"/>
      <c r="F29" s="44"/>
      <c r="G29" s="51">
        <f t="shared" si="1"/>
        <v>0</v>
      </c>
    </row>
    <row r="30" spans="2:7" x14ac:dyDescent="0.35">
      <c r="B30" s="5">
        <v>28</v>
      </c>
      <c r="C30" s="57"/>
      <c r="D30" s="179" t="str">
        <f t="shared" si="0"/>
        <v/>
      </c>
      <c r="E30" s="57"/>
      <c r="F30" s="44"/>
      <c r="G30" s="51">
        <f t="shared" si="1"/>
        <v>0</v>
      </c>
    </row>
    <row r="31" spans="2:7" x14ac:dyDescent="0.35">
      <c r="B31" s="5">
        <v>29</v>
      </c>
      <c r="C31" s="57"/>
      <c r="D31" s="179" t="str">
        <f t="shared" si="0"/>
        <v/>
      </c>
      <c r="E31" s="57"/>
      <c r="F31" s="44"/>
      <c r="G31" s="51">
        <f t="shared" si="1"/>
        <v>0</v>
      </c>
    </row>
    <row r="32" spans="2:7" x14ac:dyDescent="0.35">
      <c r="B32" s="5">
        <v>30</v>
      </c>
      <c r="C32" s="57"/>
      <c r="D32" s="179" t="str">
        <f t="shared" si="0"/>
        <v/>
      </c>
      <c r="E32" s="57"/>
      <c r="F32" s="44"/>
      <c r="G32" s="51">
        <f t="shared" si="1"/>
        <v>0</v>
      </c>
    </row>
    <row r="33" spans="2:7" x14ac:dyDescent="0.35">
      <c r="B33" s="5">
        <v>31</v>
      </c>
      <c r="C33" s="57"/>
      <c r="D33" s="179" t="str">
        <f t="shared" si="0"/>
        <v/>
      </c>
      <c r="E33" s="57"/>
      <c r="F33" s="44"/>
      <c r="G33" s="51">
        <f t="shared" si="1"/>
        <v>0</v>
      </c>
    </row>
    <row r="34" spans="2:7" ht="15" thickBot="1" x14ac:dyDescent="0.4">
      <c r="B34" s="5">
        <v>32</v>
      </c>
      <c r="C34" s="57"/>
      <c r="D34" s="179" t="str">
        <f t="shared" si="0"/>
        <v/>
      </c>
      <c r="E34" s="57"/>
      <c r="F34" s="44"/>
      <c r="G34" s="52">
        <f t="shared" si="1"/>
        <v>0</v>
      </c>
    </row>
    <row r="35" spans="2:7" x14ac:dyDescent="0.35">
      <c r="B35" s="5">
        <v>33</v>
      </c>
      <c r="C35" s="57"/>
      <c r="D35" s="179" t="str">
        <f t="shared" si="0"/>
        <v/>
      </c>
      <c r="E35" s="57"/>
      <c r="F35" s="44"/>
    </row>
    <row r="36" spans="2:7" x14ac:dyDescent="0.35">
      <c r="B36" s="5">
        <v>34</v>
      </c>
      <c r="C36" s="57"/>
      <c r="D36" s="179" t="str">
        <f>IF(C36&gt;0,WEEKNUM(C36,2)&amp;"-"&amp;YEAR(C36),"")</f>
        <v/>
      </c>
      <c r="E36" s="57"/>
      <c r="F36" s="44"/>
    </row>
    <row r="37" spans="2:7" x14ac:dyDescent="0.35">
      <c r="B37" s="5">
        <v>35</v>
      </c>
      <c r="C37" s="57"/>
      <c r="D37" s="179" t="str">
        <f t="shared" ref="D37:D52" si="2">IF(C37&gt;0,WEEKNUM(C37,2)&amp;"-"&amp;YEAR(C37),"")</f>
        <v/>
      </c>
      <c r="E37" s="57"/>
      <c r="F37" s="44"/>
    </row>
    <row r="38" spans="2:7" x14ac:dyDescent="0.35">
      <c r="B38" s="5">
        <v>36</v>
      </c>
      <c r="C38" s="57"/>
      <c r="D38" s="179" t="str">
        <f t="shared" si="2"/>
        <v/>
      </c>
      <c r="E38" s="57"/>
      <c r="F38" s="44"/>
    </row>
    <row r="39" spans="2:7" x14ac:dyDescent="0.35">
      <c r="B39" s="5">
        <v>37</v>
      </c>
      <c r="C39" s="57"/>
      <c r="D39" s="179" t="str">
        <f t="shared" si="2"/>
        <v/>
      </c>
      <c r="E39" s="57"/>
      <c r="F39" s="44"/>
    </row>
    <row r="40" spans="2:7" x14ac:dyDescent="0.35">
      <c r="B40" s="5">
        <v>38</v>
      </c>
      <c r="C40" s="57"/>
      <c r="D40" s="179" t="str">
        <f t="shared" si="2"/>
        <v/>
      </c>
      <c r="E40" s="57"/>
      <c r="F40" s="44"/>
    </row>
    <row r="41" spans="2:7" x14ac:dyDescent="0.35">
      <c r="B41" s="5">
        <v>39</v>
      </c>
      <c r="C41" s="57"/>
      <c r="D41" s="179" t="str">
        <f t="shared" si="2"/>
        <v/>
      </c>
      <c r="E41" s="57"/>
      <c r="F41" s="44"/>
    </row>
    <row r="42" spans="2:7" x14ac:dyDescent="0.35">
      <c r="B42" s="5">
        <v>40</v>
      </c>
      <c r="C42" s="57"/>
      <c r="D42" s="179" t="str">
        <f t="shared" si="2"/>
        <v/>
      </c>
      <c r="E42" s="57"/>
      <c r="F42" s="44"/>
    </row>
    <row r="43" spans="2:7" x14ac:dyDescent="0.35">
      <c r="B43" s="5">
        <v>41</v>
      </c>
      <c r="C43" s="57"/>
      <c r="D43" s="179" t="str">
        <f t="shared" si="2"/>
        <v/>
      </c>
      <c r="E43" s="57"/>
      <c r="F43" s="44"/>
    </row>
    <row r="44" spans="2:7" x14ac:dyDescent="0.35">
      <c r="B44" s="5">
        <v>42</v>
      </c>
      <c r="C44" s="57"/>
      <c r="D44" s="179" t="str">
        <f t="shared" si="2"/>
        <v/>
      </c>
      <c r="E44" s="57"/>
      <c r="F44" s="44"/>
    </row>
    <row r="45" spans="2:7" x14ac:dyDescent="0.35">
      <c r="B45" s="5">
        <v>43</v>
      </c>
      <c r="C45" s="57"/>
      <c r="D45" s="179" t="str">
        <f t="shared" si="2"/>
        <v/>
      </c>
      <c r="E45" s="57"/>
      <c r="F45" s="44"/>
    </row>
    <row r="46" spans="2:7" x14ac:dyDescent="0.35">
      <c r="B46" s="5">
        <v>44</v>
      </c>
      <c r="C46" s="57"/>
      <c r="D46" s="179" t="str">
        <f t="shared" si="2"/>
        <v/>
      </c>
      <c r="E46" s="57"/>
      <c r="F46" s="44"/>
    </row>
    <row r="47" spans="2:7" x14ac:dyDescent="0.35">
      <c r="B47" s="5">
        <v>45</v>
      </c>
      <c r="C47" s="57"/>
      <c r="D47" s="179" t="str">
        <f t="shared" si="2"/>
        <v/>
      </c>
      <c r="E47" s="57"/>
      <c r="F47" s="44"/>
    </row>
    <row r="48" spans="2:7" x14ac:dyDescent="0.35">
      <c r="B48" s="5">
        <v>46</v>
      </c>
      <c r="C48" s="57"/>
      <c r="D48" s="179" t="str">
        <f t="shared" si="2"/>
        <v/>
      </c>
      <c r="E48" s="57"/>
      <c r="F48" s="44"/>
    </row>
    <row r="49" spans="2:6" x14ac:dyDescent="0.35">
      <c r="B49" s="5">
        <v>47</v>
      </c>
      <c r="C49" s="57"/>
      <c r="D49" s="179" t="str">
        <f t="shared" si="2"/>
        <v/>
      </c>
      <c r="E49" s="57"/>
      <c r="F49" s="44"/>
    </row>
    <row r="50" spans="2:6" x14ac:dyDescent="0.35">
      <c r="B50" s="5">
        <v>48</v>
      </c>
      <c r="C50" s="57"/>
      <c r="D50" s="179" t="str">
        <f t="shared" si="2"/>
        <v/>
      </c>
      <c r="E50" s="57"/>
      <c r="F50" s="44"/>
    </row>
    <row r="51" spans="2:6" x14ac:dyDescent="0.35">
      <c r="B51" s="5">
        <v>49</v>
      </c>
      <c r="C51" s="57"/>
      <c r="D51" s="179" t="str">
        <f t="shared" si="2"/>
        <v/>
      </c>
      <c r="E51" s="57"/>
      <c r="F51" s="44"/>
    </row>
    <row r="52" spans="2:6" ht="15" thickBot="1" x14ac:dyDescent="0.4">
      <c r="B52" s="6">
        <v>50</v>
      </c>
      <c r="C52" s="58"/>
      <c r="D52" s="179"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F22:F52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45" activePane="bottomRight" state="frozen"/>
      <selection activeCell="A2" sqref="A2"/>
      <selection pane="topRight" activeCell="E2" sqref="E2"/>
      <selection pane="bottomLeft" activeCell="A5" sqref="A5"/>
      <selection pane="bottomRight" activeCell="BF4" sqref="BF4"/>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47.453125" bestFit="1" customWidth="1"/>
    <col min="6" max="6" width="3.36328125" style="3" hidden="1" customWidth="1"/>
    <col min="7" max="7" width="10.08984375" style="3" bestFit="1" customWidth="1"/>
    <col min="8"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1" bestFit="1" customWidth="1"/>
    <col min="53" max="53" width="1.453125" customWidth="1"/>
    <col min="54" max="54" width="6.26953125" bestFit="1" customWidth="1"/>
    <col min="55" max="55" width="7.26953125" bestFit="1" customWidth="1"/>
    <col min="56" max="61" width="6.26953125" bestFit="1"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15" thickBot="1" x14ac:dyDescent="0.4">
      <c r="A2" s="63"/>
      <c r="B2" s="63"/>
      <c r="C2" s="63"/>
      <c r="D2" s="63"/>
      <c r="E2" s="63"/>
      <c r="F2" s="63"/>
      <c r="G2" s="63"/>
      <c r="H2" s="63"/>
      <c r="I2" s="63"/>
      <c r="J2" s="63"/>
      <c r="K2" s="63"/>
      <c r="L2" s="63"/>
      <c r="M2" s="63"/>
      <c r="N2" s="63"/>
      <c r="O2" s="63"/>
      <c r="P2" s="63"/>
      <c r="Q2" s="63"/>
      <c r="R2" s="63"/>
      <c r="S2" s="64"/>
      <c r="T2" s="204" t="s">
        <v>61</v>
      </c>
      <c r="U2" s="205"/>
      <c r="V2" s="205"/>
      <c r="W2" s="205"/>
      <c r="X2" s="205"/>
      <c r="Y2" s="205"/>
      <c r="Z2" s="205"/>
      <c r="AA2" s="205"/>
      <c r="AB2" s="205"/>
      <c r="AC2" s="205"/>
      <c r="AD2" s="205"/>
      <c r="AE2" s="205"/>
      <c r="AF2" s="205"/>
      <c r="AG2" s="205"/>
      <c r="AH2" s="205"/>
      <c r="AI2" s="205"/>
      <c r="AJ2" s="205"/>
      <c r="AK2" s="205"/>
      <c r="AL2" s="205"/>
      <c r="AM2" s="205"/>
      <c r="AN2" s="205"/>
      <c r="AO2" s="205"/>
      <c r="AP2" s="206"/>
      <c r="AQ2" s="65"/>
      <c r="AR2" s="63"/>
      <c r="AS2" s="63"/>
      <c r="AT2" s="63"/>
      <c r="AU2" s="63"/>
      <c r="AV2" s="63"/>
      <c r="AW2" s="63"/>
      <c r="AX2" s="63"/>
      <c r="AY2" s="63"/>
      <c r="AZ2" s="63"/>
      <c r="BA2" s="63"/>
      <c r="BB2" s="63"/>
      <c r="BC2" s="63"/>
      <c r="BD2" s="63"/>
      <c r="BE2" s="63"/>
      <c r="BF2" s="63"/>
      <c r="BG2" s="63"/>
      <c r="BH2" s="63"/>
      <c r="BI2" s="63"/>
      <c r="BJ2" s="66"/>
    </row>
    <row r="3" spans="1:63" ht="15" customHeight="1" thickBot="1" x14ac:dyDescent="0.4">
      <c r="A3" s="224" t="s">
        <v>83</v>
      </c>
      <c r="B3" s="224" t="s">
        <v>84</v>
      </c>
      <c r="C3" s="226" t="s">
        <v>85</v>
      </c>
      <c r="D3" s="224" t="s">
        <v>34</v>
      </c>
      <c r="E3" s="226" t="s">
        <v>1</v>
      </c>
      <c r="G3" s="150"/>
      <c r="I3" s="220" t="s">
        <v>70</v>
      </c>
      <c r="J3" s="222" t="s">
        <v>86</v>
      </c>
      <c r="K3" s="150"/>
      <c r="N3" s="241" t="s">
        <v>172</v>
      </c>
      <c r="O3" s="207" t="s">
        <v>60</v>
      </c>
      <c r="P3" s="208"/>
      <c r="Q3" s="208"/>
      <c r="R3" s="209"/>
      <c r="S3" s="63"/>
      <c r="T3" s="216" t="s">
        <v>14</v>
      </c>
      <c r="U3" s="217"/>
      <c r="V3" s="68"/>
      <c r="W3" s="216" t="s">
        <v>21</v>
      </c>
      <c r="X3" s="217"/>
      <c r="Y3" s="68"/>
      <c r="Z3" s="216" t="s">
        <v>15</v>
      </c>
      <c r="AA3" s="217"/>
      <c r="AB3" s="68"/>
      <c r="AC3" s="216" t="s">
        <v>16</v>
      </c>
      <c r="AD3" s="217"/>
      <c r="AE3" s="68"/>
      <c r="AF3" s="216" t="s">
        <v>19</v>
      </c>
      <c r="AG3" s="217"/>
      <c r="AH3" s="68"/>
      <c r="AI3" s="216" t="s">
        <v>18</v>
      </c>
      <c r="AJ3" s="217"/>
      <c r="AK3" s="68"/>
      <c r="AL3" s="218" t="s">
        <v>66</v>
      </c>
      <c r="AM3" s="219"/>
      <c r="AN3" s="68"/>
      <c r="AO3" s="218" t="s">
        <v>66</v>
      </c>
      <c r="AP3" s="219"/>
      <c r="AQ3" s="63"/>
      <c r="AR3" s="210" t="s">
        <v>62</v>
      </c>
      <c r="AS3" s="211"/>
      <c r="AT3" s="211"/>
      <c r="AU3" s="211"/>
      <c r="AV3" s="211"/>
      <c r="AW3" s="211"/>
      <c r="AX3" s="212"/>
      <c r="AY3" s="65"/>
      <c r="AZ3" s="173" t="s">
        <v>64</v>
      </c>
      <c r="BA3" s="63"/>
      <c r="BB3" s="213" t="s">
        <v>65</v>
      </c>
      <c r="BC3" s="214"/>
      <c r="BD3" s="214"/>
      <c r="BE3" s="214"/>
      <c r="BF3" s="214"/>
      <c r="BG3" s="214"/>
      <c r="BH3" s="214"/>
      <c r="BI3" s="215"/>
      <c r="BJ3" s="66"/>
      <c r="BK3" t="s">
        <v>258</v>
      </c>
    </row>
    <row r="4" spans="1:63" ht="265" thickBot="1" x14ac:dyDescent="0.4">
      <c r="A4" s="225"/>
      <c r="B4" s="225"/>
      <c r="C4" s="227"/>
      <c r="D4" s="225"/>
      <c r="E4" s="227"/>
      <c r="F4" s="69"/>
      <c r="G4" s="151"/>
      <c r="H4" s="69"/>
      <c r="I4" s="221"/>
      <c r="J4" s="223"/>
      <c r="K4" s="151"/>
      <c r="L4" s="69"/>
      <c r="M4" s="69"/>
      <c r="N4" s="153" t="s">
        <v>259</v>
      </c>
      <c r="O4" s="67" t="s">
        <v>91</v>
      </c>
      <c r="P4" s="70" t="s">
        <v>92</v>
      </c>
      <c r="Q4" s="71" t="s">
        <v>58</v>
      </c>
      <c r="R4" s="72" t="s">
        <v>59</v>
      </c>
      <c r="S4" s="73"/>
      <c r="T4" s="175" t="str">
        <f>T3&amp;"_load_target"</f>
        <v>Run_load_target</v>
      </c>
      <c r="U4" s="74" t="str">
        <f>"Actual "&amp;T3</f>
        <v>Actual Run</v>
      </c>
      <c r="V4" s="73"/>
      <c r="W4" s="175" t="str">
        <f>W3&amp;"_load_target"</f>
        <v>TrailRun_load_target</v>
      </c>
      <c r="X4" s="75" t="str">
        <f>"Actual "&amp;W3</f>
        <v>Actual TrailRun</v>
      </c>
      <c r="Y4" s="73"/>
      <c r="Z4" s="175" t="str">
        <f>Z3&amp;"_load_target"</f>
        <v>Ride_load_target</v>
      </c>
      <c r="AA4" s="75" t="str">
        <f>"Actual "&amp;Z3</f>
        <v>Actual Ride</v>
      </c>
      <c r="AB4" s="73"/>
      <c r="AC4" s="175" t="str">
        <f>AC3&amp;"_load_target"</f>
        <v>MountainBikeRide_load_target</v>
      </c>
      <c r="AD4" s="75" t="str">
        <f>"Actual "&amp;AC3</f>
        <v>Actual MountainBikeRide</v>
      </c>
      <c r="AE4" s="73"/>
      <c r="AF4" s="175" t="str">
        <f>AF3&amp;"_load_target"</f>
        <v>Swim_load_target</v>
      </c>
      <c r="AG4" s="75" t="str">
        <f>"Actual "&amp;AF3</f>
        <v>Actual Swim</v>
      </c>
      <c r="AH4" s="73"/>
      <c r="AI4" s="175" t="str">
        <f>AI3&amp;"_load_target"</f>
        <v>OpenWaterSwim_load_target</v>
      </c>
      <c r="AJ4" s="75" t="str">
        <f>"Actual "&amp;AI3</f>
        <v>Actual OpenWaterSwim</v>
      </c>
      <c r="AK4" s="73"/>
      <c r="AL4" s="175" t="str">
        <f>AL3&amp;"_load_target"</f>
        <v>None_load_target</v>
      </c>
      <c r="AM4" s="75" t="str">
        <f>"Actual "&amp;AL3</f>
        <v>Actual None</v>
      </c>
      <c r="AN4" s="73"/>
      <c r="AO4" s="175" t="str">
        <f>AO3&amp;"_load_target"</f>
        <v>None_load_target</v>
      </c>
      <c r="AP4" s="75" t="str">
        <f>"Actual "&amp;AO3</f>
        <v>Actual None</v>
      </c>
      <c r="AQ4" s="76"/>
      <c r="AR4" s="175" t="s">
        <v>5</v>
      </c>
      <c r="AS4" s="176" t="s">
        <v>6</v>
      </c>
      <c r="AT4" s="177" t="s">
        <v>23</v>
      </c>
      <c r="AU4" s="177" t="s">
        <v>7</v>
      </c>
      <c r="AV4" s="177" t="s">
        <v>8</v>
      </c>
      <c r="AW4" s="177" t="s">
        <v>22</v>
      </c>
      <c r="AX4" s="178" t="s">
        <v>10</v>
      </c>
      <c r="AY4" s="76"/>
      <c r="AZ4" s="174" t="s">
        <v>96</v>
      </c>
      <c r="BA4" s="77"/>
      <c r="BB4" s="170" t="s">
        <v>237</v>
      </c>
      <c r="BC4" s="171" t="s">
        <v>238</v>
      </c>
      <c r="BD4" s="171" t="s">
        <v>244</v>
      </c>
      <c r="BE4" s="171" t="s">
        <v>239</v>
      </c>
      <c r="BF4" s="171" t="s">
        <v>240</v>
      </c>
      <c r="BG4" s="171" t="s">
        <v>241</v>
      </c>
      <c r="BH4" s="171" t="s">
        <v>242</v>
      </c>
      <c r="BI4" s="172" t="s">
        <v>243</v>
      </c>
      <c r="BJ4" s="63"/>
      <c r="BK4" s="81" t="s">
        <v>89</v>
      </c>
    </row>
    <row r="5" spans="1:63" ht="15" thickBot="1" x14ac:dyDescent="0.4">
      <c r="A5" s="82">
        <v>1</v>
      </c>
      <c r="B5" s="83">
        <f>WEEKNUM(C5,2)</f>
        <v>53</v>
      </c>
      <c r="C5" s="84">
        <f>ATP_Conditions!C3</f>
        <v>46020</v>
      </c>
      <c r="D5" s="85" t="str">
        <f>WEEKNUM(C5,2)&amp;"-"&amp;YEAR(C5)</f>
        <v>53-2025</v>
      </c>
      <c r="E5" s="86" t="str">
        <f>_xlfn.IFNA(VLOOKUP(D5,Race_Calendar!D:F,2,FALSE),"-")</f>
        <v>-</v>
      </c>
      <c r="F5" s="83" t="str">
        <f>_xlfn.IFNA(VLOOKUP($D5,Race_Calendar!$D:$F,3,FALSE),"-")</f>
        <v>-</v>
      </c>
      <c r="G5" s="244" t="str">
        <f>_xlfn.IFNA(VLOOKUP(D5,Race_Calendar!D:H,4,FALSE),"-")</f>
        <v>-</v>
      </c>
      <c r="H5" s="87"/>
      <c r="I5" s="119" t="s">
        <v>71</v>
      </c>
      <c r="J5" s="120">
        <v>1</v>
      </c>
      <c r="K5" s="119" t="str">
        <f>IF(OR(I5="Race",I5="Trans",I5="Prep",I5="Rest"),I5,I5&amp;"-"&amp;J5)</f>
        <v>Base 1-1</v>
      </c>
      <c r="L5" s="89"/>
      <c r="M5" s="85"/>
      <c r="N5" s="90">
        <f>VLOOKUP(K5,ATP_Conditions!M:N,2,FALSE)-ATP_Conditions!$C$7</f>
        <v>420</v>
      </c>
      <c r="O5" s="91">
        <f>SUM(T5,W5,Z5,AC5,AF5,AI5,AL5,AO5)+ATP_Conditions!$C$7</f>
        <v>650</v>
      </c>
      <c r="P5" s="88">
        <f ca="1">SUM(U5,X5,AA5,AD5,AG5,AJ5,AM5,AP5)</f>
        <v>343</v>
      </c>
      <c r="Q5" s="91">
        <f>O5-$N5</f>
        <v>230</v>
      </c>
      <c r="R5" s="92">
        <f ca="1">P5-$N5</f>
        <v>-77</v>
      </c>
      <c r="S5" s="93">
        <f>MROUND(T5,5)</f>
        <v>350</v>
      </c>
      <c r="T5" s="125">
        <v>350</v>
      </c>
      <c r="U5" s="94" cm="1">
        <f t="array" aca="1" ref="U5" ca="1">IF(T$3="None",0,(INDIRECT("TABLE_WTL[@[" &amp; U$4 &amp; "]]")))</f>
        <v>35</v>
      </c>
      <c r="V5" s="93">
        <f>MROUND(W5,5)</f>
        <v>0</v>
      </c>
      <c r="W5" s="127">
        <v>0</v>
      </c>
      <c r="X5" s="94" cm="1">
        <f t="array" aca="1" ref="X5" ca="1">IF(W$3="None",0,(INDIRECT("TABLE_WTL[@[" &amp; X$4 &amp; "]]")))</f>
        <v>0</v>
      </c>
      <c r="Y5" s="93">
        <f>MROUND(Z5,5)</f>
        <v>150</v>
      </c>
      <c r="Z5" s="125">
        <v>150</v>
      </c>
      <c r="AA5" s="94" cm="1">
        <f t="array" aca="1" ref="AA5" ca="1">IF(Z$3="None",0,(INDIRECT("TABLE_WTL[@[" &amp; AA$4 &amp; "]]")))</f>
        <v>158</v>
      </c>
      <c r="AB5" s="93">
        <f>MROUND(AC5,5)</f>
        <v>150</v>
      </c>
      <c r="AC5" s="125">
        <v>150</v>
      </c>
      <c r="AD5" s="94" cm="1">
        <f t="array" aca="1" ref="AD5" ca="1">IF(AC$3="None",0,(INDIRECT("TABLE_WTL[@[" &amp; AD$4 &amp; "]]")))</f>
        <v>150</v>
      </c>
      <c r="AE5" s="93">
        <f>MROUND(AF5,5)</f>
        <v>0</v>
      </c>
      <c r="AF5" s="125">
        <v>0</v>
      </c>
      <c r="AG5" s="94" cm="1">
        <f t="array" aca="1" ref="AG5" ca="1">IF(AF$3="None",0,(INDIRECT("TABLE_WTL[@[" &amp; AG$4 &amp; "]]")))</f>
        <v>0</v>
      </c>
      <c r="AH5" s="93">
        <f>MROUND(AI5,5)</f>
        <v>0</v>
      </c>
      <c r="AI5" s="127">
        <v>0</v>
      </c>
      <c r="AJ5" s="94" cm="1">
        <f t="array" aca="1" ref="AJ5" ca="1">IF(AI$3="None",0,(INDIRECT("TABLE_WTL[@[" &amp; AJ$4 &amp; "]]")))</f>
        <v>0</v>
      </c>
      <c r="AK5" s="93">
        <f>MROUND(AL5,5)</f>
        <v>0</v>
      </c>
      <c r="AL5" s="127">
        <v>0</v>
      </c>
      <c r="AM5" s="94" cm="1">
        <f t="array" aca="1" ref="AM5" ca="1">IF(AL$3="None",0,(INDIRECT("TABLE_WTL[@[" &amp; AM$4 &amp; "]]")))</f>
        <v>0</v>
      </c>
      <c r="AN5" s="93">
        <f>MROUND(AO5,5)</f>
        <v>0</v>
      </c>
      <c r="AO5" s="127">
        <v>0</v>
      </c>
      <c r="AP5" s="94" cm="1">
        <f t="array" aca="1" ref="AP5" ca="1">IF(AO$3="None",0,(INDIRECT("TABLE_WTL[@[" &amp; AP$4 &amp; "]]")))</f>
        <v>0</v>
      </c>
      <c r="AQ5" s="95"/>
      <c r="AR5" s="129"/>
      <c r="AS5" s="130"/>
      <c r="AT5" s="130"/>
      <c r="AU5" s="130"/>
      <c r="AV5" s="130"/>
      <c r="AW5" s="130"/>
      <c r="AX5" s="131"/>
      <c r="AY5" s="95"/>
      <c r="AZ5" s="147"/>
      <c r="BA5" s="63"/>
      <c r="BB5" s="138"/>
      <c r="BC5" s="139"/>
      <c r="BD5" s="139"/>
      <c r="BE5" s="139"/>
      <c r="BF5" s="139"/>
      <c r="BG5" s="139"/>
      <c r="BH5" s="139"/>
      <c r="BI5" s="140"/>
      <c r="BJ5" s="63"/>
      <c r="BK5" s="96">
        <f>N5/ATP_Conditions!$C$8</f>
        <v>6</v>
      </c>
    </row>
    <row r="6" spans="1:63" ht="15" thickBot="1" x14ac:dyDescent="0.4">
      <c r="A6" s="31">
        <f>A5+1</f>
        <v>2</v>
      </c>
      <c r="B6" s="97">
        <f t="shared" ref="B6:B54" si="0">WEEKNUM(C6,2)</f>
        <v>2</v>
      </c>
      <c r="C6" s="98">
        <f>C5+7</f>
        <v>46027</v>
      </c>
      <c r="D6" s="99" t="str">
        <f t="shared" ref="D6:D57" si="1">WEEKNUM(C6,2)&amp;"-"&amp;YEAR(C6)</f>
        <v>2-2026</v>
      </c>
      <c r="E6" s="100" t="str">
        <f>_xlfn.IFNA(VLOOKUP(D6,Race_Calendar!D:F,2,FALSE),"-")</f>
        <v>-</v>
      </c>
      <c r="F6" s="97" t="str">
        <f>_xlfn.IFNA(VLOOKUP($D6,Race_Calendar!$D:$F,3,FALSE),"-")</f>
        <v>-</v>
      </c>
      <c r="G6" s="245" t="str">
        <f>_xlfn.IFNA(VLOOKUP(D6,Race_Calendar!D:H,4,FALSE),"-")</f>
        <v>-</v>
      </c>
      <c r="H6" s="101"/>
      <c r="I6" s="121" t="s">
        <v>72</v>
      </c>
      <c r="J6" s="122" t="s">
        <v>99</v>
      </c>
      <c r="K6" s="123" t="str">
        <f>IF(OR(,I6="Race",I6="Trans",I6="Prep"),I6,I6&amp;"-"&amp;J6)</f>
        <v>Base 2-1</v>
      </c>
      <c r="L6" s="102"/>
      <c r="M6" s="99"/>
      <c r="N6" s="103">
        <f>VLOOKUP(K6,ATP_Conditions!M:N,2,FALSE)</f>
        <v>440</v>
      </c>
      <c r="O6" s="31">
        <f>SUM(T6,W6,Z6,AC6,AF6,AI6,AL6,AO6)+ATP_Conditions!$C$7</f>
        <v>480</v>
      </c>
      <c r="P6" s="32">
        <f t="shared" ref="P6:P36" ca="1" si="2">SUM(U6,X6,AA6,AD6,AG6,AJ6,AM6,AP6)</f>
        <v>500</v>
      </c>
      <c r="Q6" s="91">
        <f t="shared" ref="Q6:Q37" si="3">O6-N6</f>
        <v>40</v>
      </c>
      <c r="R6" s="92">
        <f t="shared" ref="R6:R57" ca="1" si="4">P6-$N6</f>
        <v>60</v>
      </c>
      <c r="S6" s="104">
        <f t="shared" ref="S6:S57" si="5">MROUND(T6,5)</f>
        <v>100</v>
      </c>
      <c r="T6" s="125">
        <v>100</v>
      </c>
      <c r="U6" s="94" cm="1">
        <f t="array" aca="1" ref="U6" ca="1">IF(T$3="None",0,(INDIRECT("TABLE_WTL[@[" &amp; U$4 &amp; "]]")))</f>
        <v>102</v>
      </c>
      <c r="V6" s="104">
        <f t="shared" ref="V6:V57" si="6">MROUND(W6,5)</f>
        <v>0</v>
      </c>
      <c r="W6" s="125">
        <v>0</v>
      </c>
      <c r="X6" s="94" cm="1">
        <f t="array" aca="1" ref="X6" ca="1">IF(W$3="None",0,(INDIRECT("TABLE_WTL[@[" &amp; X$4 &amp; "]]")))</f>
        <v>0</v>
      </c>
      <c r="Y6" s="104">
        <f t="shared" ref="Y6:Y57" si="7">MROUND(Z6,5)</f>
        <v>230</v>
      </c>
      <c r="Z6" s="125">
        <v>230</v>
      </c>
      <c r="AA6" s="94" cm="1">
        <f t="array" aca="1" ref="AA6" ca="1">IF(Z$3="None",0,(INDIRECT("TABLE_WTL[@[" &amp; AA$4 &amp; "]]")))</f>
        <v>248</v>
      </c>
      <c r="AB6" s="104">
        <f t="shared" ref="AB6:AB57" si="8">MROUND(AC6,5)</f>
        <v>150</v>
      </c>
      <c r="AC6" s="125">
        <v>150</v>
      </c>
      <c r="AD6" s="94" cm="1">
        <f t="array" aca="1" ref="AD6" ca="1">IF(AC$3="None",0,(INDIRECT("TABLE_WTL[@[" &amp; AD$4 &amp; "]]")))</f>
        <v>150</v>
      </c>
      <c r="AE6" s="104">
        <f t="shared" ref="AE6:AE57" si="9">MROUND(AF6,5)</f>
        <v>0</v>
      </c>
      <c r="AF6" s="125">
        <v>0</v>
      </c>
      <c r="AG6" s="94" cm="1">
        <f t="array" aca="1" ref="AG6" ca="1">IF(AF$3="None",0,(INDIRECT("TABLE_WTL[@[" &amp; AG$4 &amp; "]]")))</f>
        <v>0</v>
      </c>
      <c r="AH6" s="104">
        <f t="shared" ref="AH6:AH57" si="10">MROUND(AI6,5)</f>
        <v>0</v>
      </c>
      <c r="AI6" s="125">
        <v>0</v>
      </c>
      <c r="AJ6" s="94" cm="1">
        <f t="array" aca="1" ref="AJ6" ca="1">IF(AI$3="None",0,(INDIRECT("TABLE_WTL[@[" &amp; AJ$4 &amp; "]]")))</f>
        <v>0</v>
      </c>
      <c r="AK6" s="104">
        <f t="shared" ref="AK6:AK57" si="11">MROUND(AL6,5)</f>
        <v>0</v>
      </c>
      <c r="AL6" s="125">
        <v>0</v>
      </c>
      <c r="AM6" s="94" cm="1">
        <f t="array" aca="1" ref="AM6" ca="1">IF(AL$3="None",0,(INDIRECT("TABLE_WTL[@[" &amp; AM$4 &amp; "]]")))</f>
        <v>0</v>
      </c>
      <c r="AN6" s="104">
        <f t="shared" ref="AN6:AN57" si="12">MROUND(AO6,5)</f>
        <v>0</v>
      </c>
      <c r="AO6" s="125">
        <v>0</v>
      </c>
      <c r="AP6" s="94" cm="1">
        <f t="array" aca="1" ref="AP6" ca="1">IF(AO$3="None",0,(INDIRECT("TABLE_WTL[@[" &amp; AP$4 &amp; "]]")))</f>
        <v>0</v>
      </c>
      <c r="AQ6" s="105"/>
      <c r="AR6" s="128"/>
      <c r="AS6" s="132" t="s">
        <v>99</v>
      </c>
      <c r="AT6" s="132"/>
      <c r="AU6" s="132" t="s">
        <v>99</v>
      </c>
      <c r="AV6" s="132" t="s">
        <v>99</v>
      </c>
      <c r="AW6" s="132"/>
      <c r="AX6" s="133">
        <v>1</v>
      </c>
      <c r="AY6" s="105"/>
      <c r="AZ6" s="148" t="s">
        <v>98</v>
      </c>
      <c r="BA6" s="63"/>
      <c r="BB6" s="141"/>
      <c r="BC6" s="142"/>
      <c r="BD6" s="142"/>
      <c r="BE6" s="142"/>
      <c r="BF6" s="142"/>
      <c r="BG6" s="142"/>
      <c r="BH6" s="142"/>
      <c r="BI6" s="143"/>
      <c r="BJ6" s="63"/>
      <c r="BK6" s="96">
        <f>N6/ATP_Conditions!$C$8</f>
        <v>6.2857142857142856</v>
      </c>
    </row>
    <row r="7" spans="1:63" ht="15" thickBot="1" x14ac:dyDescent="0.4">
      <c r="A7" s="31">
        <f t="shared" ref="A7:A58" si="13">A6+1</f>
        <v>3</v>
      </c>
      <c r="B7" s="97">
        <f t="shared" si="0"/>
        <v>3</v>
      </c>
      <c r="C7" s="98">
        <f t="shared" ref="C7:C58" si="14">C6+7</f>
        <v>46034</v>
      </c>
      <c r="D7" s="99" t="str">
        <f t="shared" si="1"/>
        <v>3-2026</v>
      </c>
      <c r="E7" s="100" t="str">
        <f>_xlfn.IFNA(VLOOKUP(D7,Race_Calendar!D:F,2,FALSE),"-")</f>
        <v>-</v>
      </c>
      <c r="F7" s="97" t="str">
        <f>_xlfn.IFNA(VLOOKUP($D7,Race_Calendar!$D:$F,3,FALSE),"-")</f>
        <v>-</v>
      </c>
      <c r="G7" s="245" t="str">
        <f>_xlfn.IFNA(VLOOKUP(D7,Race_Calendar!D:H,4,FALSE),"-")</f>
        <v>-</v>
      </c>
      <c r="H7" s="101"/>
      <c r="I7" s="121" t="s">
        <v>72</v>
      </c>
      <c r="J7" s="124" t="s">
        <v>100</v>
      </c>
      <c r="K7" s="123" t="str">
        <f t="shared" ref="K7:K57" si="15">IF(OR(,I7="Race",I7="Trans",I7="Prep"),I7,I7&amp;"-"&amp;J7)</f>
        <v>Base 2-2</v>
      </c>
      <c r="L7" s="102"/>
      <c r="M7" s="99"/>
      <c r="N7" s="103">
        <f>VLOOKUP(K7,ATP_Conditions!M:N,2,FALSE)</f>
        <v>500</v>
      </c>
      <c r="O7" s="31">
        <f>SUM(T7,W7,Z7,AC7,AF7,AI7,AL7,AO7)+ATP_Conditions!$C$7</f>
        <v>550</v>
      </c>
      <c r="P7" s="32">
        <f t="shared" ca="1" si="2"/>
        <v>550</v>
      </c>
      <c r="Q7" s="91">
        <f t="shared" si="3"/>
        <v>50</v>
      </c>
      <c r="R7" s="92">
        <f t="shared" ca="1" si="4"/>
        <v>50</v>
      </c>
      <c r="S7" s="104">
        <f t="shared" si="5"/>
        <v>140</v>
      </c>
      <c r="T7" s="125">
        <v>140</v>
      </c>
      <c r="U7" s="94" cm="1">
        <f t="array" aca="1" ref="U7" ca="1">IF(T$3="None",0,(INDIRECT("TABLE_WTL[@[" &amp; U$4 &amp; "]]")))</f>
        <v>138</v>
      </c>
      <c r="V7" s="104">
        <f t="shared" si="6"/>
        <v>0</v>
      </c>
      <c r="W7" s="125">
        <v>0</v>
      </c>
      <c r="X7" s="94" cm="1">
        <f t="array" aca="1" ref="X7" ca="1">IF(W$3="None",0,(INDIRECT("TABLE_WTL[@[" &amp; X$4 &amp; "]]")))</f>
        <v>0</v>
      </c>
      <c r="Y7" s="104">
        <f t="shared" si="7"/>
        <v>260</v>
      </c>
      <c r="Z7" s="125">
        <v>260</v>
      </c>
      <c r="AA7" s="94" cm="1">
        <f t="array" aca="1" ref="AA7" ca="1">IF(Z$3="None",0,(INDIRECT("TABLE_WTL[@[" &amp; AA$4 &amp; "]]")))</f>
        <v>262</v>
      </c>
      <c r="AB7" s="104">
        <f t="shared" si="8"/>
        <v>150</v>
      </c>
      <c r="AC7" s="125">
        <v>150</v>
      </c>
      <c r="AD7" s="94" cm="1">
        <f t="array" aca="1" ref="AD7" ca="1">IF(AC$3="None",0,(INDIRECT("TABLE_WTL[@[" &amp; AD$4 &amp; "]]")))</f>
        <v>150</v>
      </c>
      <c r="AE7" s="104">
        <f t="shared" si="9"/>
        <v>0</v>
      </c>
      <c r="AF7" s="125">
        <v>0</v>
      </c>
      <c r="AG7" s="94" cm="1">
        <f t="array" aca="1" ref="AG7" ca="1">IF(AF$3="None",0,(INDIRECT("TABLE_WTL[@[" &amp; AG$4 &amp; "]]")))</f>
        <v>0</v>
      </c>
      <c r="AH7" s="104">
        <f t="shared" si="10"/>
        <v>0</v>
      </c>
      <c r="AI7" s="125">
        <v>0</v>
      </c>
      <c r="AJ7" s="94" cm="1">
        <f t="array" aca="1" ref="AJ7" ca="1">IF(AI$3="None",0,(INDIRECT("TABLE_WTL[@[" &amp; AJ$4 &amp; "]]")))</f>
        <v>0</v>
      </c>
      <c r="AK7" s="104">
        <f t="shared" si="11"/>
        <v>0</v>
      </c>
      <c r="AL7" s="125">
        <v>0</v>
      </c>
      <c r="AM7" s="94" cm="1">
        <f t="array" aca="1" ref="AM7" ca="1">IF(AL$3="None",0,(INDIRECT("TABLE_WTL[@[" &amp; AM$4 &amp; "]]")))</f>
        <v>0</v>
      </c>
      <c r="AN7" s="104">
        <f t="shared" si="12"/>
        <v>0</v>
      </c>
      <c r="AO7" s="125">
        <v>0</v>
      </c>
      <c r="AP7" s="94" cm="1">
        <f t="array" aca="1" ref="AP7" ca="1">IF(AO$3="None",0,(INDIRECT("TABLE_WTL[@[" &amp; AP$4 &amp; "]]")))</f>
        <v>0</v>
      </c>
      <c r="AQ7" s="105"/>
      <c r="AR7" s="128"/>
      <c r="AS7" s="132" t="s">
        <v>99</v>
      </c>
      <c r="AT7" s="132" t="s">
        <v>99</v>
      </c>
      <c r="AU7" s="132" t="s">
        <v>99</v>
      </c>
      <c r="AV7" s="132" t="s">
        <v>99</v>
      </c>
      <c r="AW7" s="132"/>
      <c r="AX7" s="133">
        <v>1</v>
      </c>
      <c r="AY7" s="105"/>
      <c r="AZ7" s="148" t="s">
        <v>25</v>
      </c>
      <c r="BA7" s="63"/>
      <c r="BB7" s="141"/>
      <c r="BC7" s="142"/>
      <c r="BD7" s="142"/>
      <c r="BE7" s="142"/>
      <c r="BF7" s="142"/>
      <c r="BG7" s="142"/>
      <c r="BH7" s="142"/>
      <c r="BI7" s="143"/>
      <c r="BJ7" s="63"/>
      <c r="BK7" s="96">
        <f>N7/ATP_Conditions!$C$8</f>
        <v>7.1428571428571432</v>
      </c>
    </row>
    <row r="8" spans="1:63" ht="15" thickBot="1" x14ac:dyDescent="0.4">
      <c r="A8" s="31">
        <f t="shared" si="13"/>
        <v>4</v>
      </c>
      <c r="B8" s="97">
        <f t="shared" si="0"/>
        <v>4</v>
      </c>
      <c r="C8" s="98">
        <f t="shared" si="14"/>
        <v>46041</v>
      </c>
      <c r="D8" s="99" t="str">
        <f t="shared" si="1"/>
        <v>4-2026</v>
      </c>
      <c r="E8" s="100" t="str">
        <f>_xlfn.IFNA(VLOOKUP(D8,Race_Calendar!D:F,2,FALSE),"-")</f>
        <v>-</v>
      </c>
      <c r="F8" s="97" t="str">
        <f>_xlfn.IFNA(VLOOKUP($D8,Race_Calendar!$D:$F,3,FALSE),"-")</f>
        <v>-</v>
      </c>
      <c r="G8" s="245" t="str">
        <f>_xlfn.IFNA(VLOOKUP(D8,Race_Calendar!D:H,4,FALSE),"-")</f>
        <v>-</v>
      </c>
      <c r="H8" s="101"/>
      <c r="I8" s="121" t="s">
        <v>72</v>
      </c>
      <c r="J8" s="124" t="s">
        <v>102</v>
      </c>
      <c r="K8" s="123" t="str">
        <f t="shared" si="15"/>
        <v>Base 2-4</v>
      </c>
      <c r="L8" s="102"/>
      <c r="M8" s="99"/>
      <c r="N8" s="103">
        <f>VLOOKUP(K8,ATP_Conditions!M:N,2,FALSE)</f>
        <v>360</v>
      </c>
      <c r="O8" s="31">
        <f>SUM(T8,W8,Z8,AC8,AF8,AI8,AL8,AO8)+ATP_Conditions!$C$7</f>
        <v>400</v>
      </c>
      <c r="P8" s="32">
        <f t="shared" ca="1" si="2"/>
        <v>435</v>
      </c>
      <c r="Q8" s="91">
        <f t="shared" si="3"/>
        <v>40</v>
      </c>
      <c r="R8" s="92">
        <f t="shared" ca="1" si="4"/>
        <v>75</v>
      </c>
      <c r="S8" s="104">
        <f t="shared" si="5"/>
        <v>100</v>
      </c>
      <c r="T8" s="125">
        <v>100</v>
      </c>
      <c r="U8" s="94" cm="1">
        <f t="array" aca="1" ref="U8" ca="1">IF(T$3="None",0,(INDIRECT("TABLE_WTL[@[" &amp; U$4 &amp; "]]")))</f>
        <v>117</v>
      </c>
      <c r="V8" s="104">
        <f t="shared" si="6"/>
        <v>0</v>
      </c>
      <c r="W8" s="125">
        <v>0</v>
      </c>
      <c r="X8" s="94" cm="1">
        <f t="array" aca="1" ref="X8" ca="1">IF(W$3="None",0,(INDIRECT("TABLE_WTL[@[" &amp; X$4 &amp; "]]")))</f>
        <v>0</v>
      </c>
      <c r="Y8" s="104">
        <f t="shared" si="7"/>
        <v>150</v>
      </c>
      <c r="Z8" s="125">
        <v>150</v>
      </c>
      <c r="AA8" s="94" cm="1">
        <f t="array" aca="1" ref="AA8" ca="1">IF(Z$3="None",0,(INDIRECT("TABLE_WTL[@[" &amp; AA$4 &amp; "]]")))</f>
        <v>168</v>
      </c>
      <c r="AB8" s="104">
        <f t="shared" si="8"/>
        <v>150</v>
      </c>
      <c r="AC8" s="125">
        <v>150</v>
      </c>
      <c r="AD8" s="94" cm="1">
        <f t="array" aca="1" ref="AD8" ca="1">IF(AC$3="None",0,(INDIRECT("TABLE_WTL[@[" &amp; AD$4 &amp; "]]")))</f>
        <v>150</v>
      </c>
      <c r="AE8" s="104">
        <f t="shared" si="9"/>
        <v>0</v>
      </c>
      <c r="AF8" s="125">
        <v>0</v>
      </c>
      <c r="AG8" s="94" cm="1">
        <f t="array" aca="1" ref="AG8" ca="1">IF(AF$3="None",0,(INDIRECT("TABLE_WTL[@[" &amp; AG$4 &amp; "]]")))</f>
        <v>0</v>
      </c>
      <c r="AH8" s="104">
        <f t="shared" si="10"/>
        <v>0</v>
      </c>
      <c r="AI8" s="125">
        <v>0</v>
      </c>
      <c r="AJ8" s="94" cm="1">
        <f t="array" aca="1" ref="AJ8" ca="1">IF(AI$3="None",0,(INDIRECT("TABLE_WTL[@[" &amp; AJ$4 &amp; "]]")))</f>
        <v>0</v>
      </c>
      <c r="AK8" s="104">
        <f t="shared" si="11"/>
        <v>0</v>
      </c>
      <c r="AL8" s="125">
        <v>0</v>
      </c>
      <c r="AM8" s="94" cm="1">
        <f t="array" aca="1" ref="AM8" ca="1">IF(AL$3="None",0,(INDIRECT("TABLE_WTL[@[" &amp; AM$4 &amp; "]]")))</f>
        <v>0</v>
      </c>
      <c r="AN8" s="104">
        <f t="shared" si="12"/>
        <v>0</v>
      </c>
      <c r="AO8" s="125">
        <v>0</v>
      </c>
      <c r="AP8" s="94" cm="1">
        <f t="array" aca="1" ref="AP8" ca="1">IF(AO$3="None",0,(INDIRECT("TABLE_WTL[@[" &amp; AP$4 &amp; "]]")))</f>
        <v>0</v>
      </c>
      <c r="AQ8" s="105"/>
      <c r="AR8" s="128"/>
      <c r="AS8" s="132" t="s">
        <v>99</v>
      </c>
      <c r="AT8" s="132"/>
      <c r="AU8" s="132" t="s">
        <v>99</v>
      </c>
      <c r="AV8" s="132" t="s">
        <v>99</v>
      </c>
      <c r="AW8" s="132"/>
      <c r="AX8" s="133"/>
      <c r="AY8" s="105"/>
      <c r="AZ8" s="148"/>
      <c r="BA8" s="63"/>
      <c r="BB8" s="141"/>
      <c r="BC8" s="142"/>
      <c r="BD8" s="142"/>
      <c r="BE8" s="142"/>
      <c r="BF8" s="142"/>
      <c r="BG8" s="142"/>
      <c r="BH8" s="142"/>
      <c r="BI8" s="143"/>
      <c r="BJ8" s="63"/>
      <c r="BK8" s="96">
        <f>N8/ATP_Conditions!$C$8</f>
        <v>5.1428571428571432</v>
      </c>
    </row>
    <row r="9" spans="1:63" ht="15" thickBot="1" x14ac:dyDescent="0.4">
      <c r="A9" s="31">
        <f t="shared" si="13"/>
        <v>5</v>
      </c>
      <c r="B9" s="97">
        <f t="shared" si="0"/>
        <v>5</v>
      </c>
      <c r="C9" s="98">
        <f t="shared" si="14"/>
        <v>46048</v>
      </c>
      <c r="D9" s="99" t="str">
        <f t="shared" si="1"/>
        <v>5-2026</v>
      </c>
      <c r="E9" s="100" t="str">
        <f>_xlfn.IFNA(VLOOKUP(D9,Race_Calendar!D:F,2,FALSE),"-")</f>
        <v>-</v>
      </c>
      <c r="F9" s="97" t="str">
        <f>_xlfn.IFNA(VLOOKUP($D9,Race_Calendar!$D:$F,3,FALSE),"-")</f>
        <v>-</v>
      </c>
      <c r="G9" s="245" t="str">
        <f>_xlfn.IFNA(VLOOKUP(D9,Race_Calendar!D:H,4,FALSE),"-")</f>
        <v>-</v>
      </c>
      <c r="H9" s="101"/>
      <c r="I9" s="121" t="s">
        <v>75</v>
      </c>
      <c r="J9" s="124" t="s">
        <v>99</v>
      </c>
      <c r="K9" s="123" t="str">
        <f t="shared" si="15"/>
        <v>Base 3-1</v>
      </c>
      <c r="L9" s="102"/>
      <c r="M9" s="99"/>
      <c r="N9" s="103">
        <f>VLOOKUP(K9,ATP_Conditions!M:N,2,FALSE)</f>
        <v>500</v>
      </c>
      <c r="O9" s="31">
        <f>SUM(T9,W9,Z9,AC9,AF9,AI9,AL9,AO9)+ATP_Conditions!$C$7</f>
        <v>550</v>
      </c>
      <c r="P9" s="32">
        <f t="shared" ca="1" si="2"/>
        <v>516</v>
      </c>
      <c r="Q9" s="91">
        <f t="shared" si="3"/>
        <v>50</v>
      </c>
      <c r="R9" s="92">
        <f t="shared" ca="1" si="4"/>
        <v>16</v>
      </c>
      <c r="S9" s="104">
        <f t="shared" si="5"/>
        <v>150</v>
      </c>
      <c r="T9" s="125">
        <v>150</v>
      </c>
      <c r="U9" s="94" cm="1">
        <f t="array" aca="1" ref="U9" ca="1">IF(T$3="None",0,(INDIRECT("TABLE_WTL[@[" &amp; U$4 &amp; "]]")))</f>
        <v>148</v>
      </c>
      <c r="V9" s="104">
        <f t="shared" si="6"/>
        <v>0</v>
      </c>
      <c r="W9" s="125">
        <v>0</v>
      </c>
      <c r="X9" s="94" cm="1">
        <f t="array" aca="1" ref="X9" ca="1">IF(W$3="None",0,(INDIRECT("TABLE_WTL[@[" &amp; X$4 &amp; "]]")))</f>
        <v>0</v>
      </c>
      <c r="Y9" s="104">
        <f t="shared" si="7"/>
        <v>250</v>
      </c>
      <c r="Z9" s="125">
        <v>250</v>
      </c>
      <c r="AA9" s="94" cm="1">
        <f t="array" aca="1" ref="AA9" ca="1">IF(Z$3="None",0,(INDIRECT("TABLE_WTL[@[" &amp; AA$4 &amp; "]]")))</f>
        <v>218</v>
      </c>
      <c r="AB9" s="104">
        <f t="shared" si="8"/>
        <v>150</v>
      </c>
      <c r="AC9" s="125">
        <v>150</v>
      </c>
      <c r="AD9" s="94" cm="1">
        <f t="array" aca="1" ref="AD9" ca="1">IF(AC$3="None",0,(INDIRECT("TABLE_WTL[@[" &amp; AD$4 &amp; "]]")))</f>
        <v>150</v>
      </c>
      <c r="AE9" s="104">
        <f t="shared" si="9"/>
        <v>0</v>
      </c>
      <c r="AF9" s="125">
        <v>0</v>
      </c>
      <c r="AG9" s="94" cm="1">
        <f t="array" aca="1" ref="AG9" ca="1">IF(AF$3="None",0,(INDIRECT("TABLE_WTL[@[" &amp; AG$4 &amp; "]]")))</f>
        <v>0</v>
      </c>
      <c r="AH9" s="104">
        <f t="shared" si="10"/>
        <v>0</v>
      </c>
      <c r="AI9" s="125">
        <v>0</v>
      </c>
      <c r="AJ9" s="94" cm="1">
        <f t="array" aca="1" ref="AJ9" ca="1">IF(AI$3="None",0,(INDIRECT("TABLE_WTL[@[" &amp; AJ$4 &amp; "]]")))</f>
        <v>0</v>
      </c>
      <c r="AK9" s="104">
        <f t="shared" si="11"/>
        <v>0</v>
      </c>
      <c r="AL9" s="125">
        <v>0</v>
      </c>
      <c r="AM9" s="94" cm="1">
        <f t="array" aca="1" ref="AM9" ca="1">IF(AL$3="None",0,(INDIRECT("TABLE_WTL[@[" &amp; AM$4 &amp; "]]")))</f>
        <v>0</v>
      </c>
      <c r="AN9" s="104">
        <f t="shared" si="12"/>
        <v>0</v>
      </c>
      <c r="AO9" s="125">
        <v>0</v>
      </c>
      <c r="AP9" s="94" cm="1">
        <f t="array" aca="1" ref="AP9" ca="1">IF(AO$3="None",0,(INDIRECT("TABLE_WTL[@[" &amp; AP$4 &amp; "]]")))</f>
        <v>0</v>
      </c>
      <c r="AQ9" s="105"/>
      <c r="AR9" s="128"/>
      <c r="AS9" s="132" t="s">
        <v>99</v>
      </c>
      <c r="AT9" s="132" t="s">
        <v>99</v>
      </c>
      <c r="AU9" s="132" t="s">
        <v>99</v>
      </c>
      <c r="AV9" s="132"/>
      <c r="AW9" s="132" t="s">
        <v>99</v>
      </c>
      <c r="AX9" s="133"/>
      <c r="AY9" s="105"/>
      <c r="AZ9" s="148"/>
      <c r="BA9" s="63"/>
      <c r="BB9" s="141"/>
      <c r="BC9" s="142"/>
      <c r="BD9" s="142"/>
      <c r="BE9" s="142"/>
      <c r="BF9" s="142"/>
      <c r="BG9" s="142"/>
      <c r="BH9" s="142"/>
      <c r="BI9" s="143"/>
      <c r="BJ9" s="63"/>
      <c r="BK9" s="96">
        <f>N9/ATP_Conditions!$C$8</f>
        <v>7.1428571428571432</v>
      </c>
    </row>
    <row r="10" spans="1:63" ht="15" thickBot="1" x14ac:dyDescent="0.4">
      <c r="A10" s="31">
        <f t="shared" si="13"/>
        <v>6</v>
      </c>
      <c r="B10" s="97">
        <f t="shared" si="0"/>
        <v>6</v>
      </c>
      <c r="C10" s="98">
        <f t="shared" si="14"/>
        <v>46055</v>
      </c>
      <c r="D10" s="99" t="str">
        <f t="shared" si="1"/>
        <v>6-2026</v>
      </c>
      <c r="E10" s="100" t="str">
        <f>_xlfn.IFNA(VLOOKUP(D10,Race_Calendar!D:F,2,FALSE),"-")</f>
        <v>-</v>
      </c>
      <c r="F10" s="97" t="str">
        <f>_xlfn.IFNA(VLOOKUP($D10,Race_Calendar!$D:$F,3,FALSE),"-")</f>
        <v>-</v>
      </c>
      <c r="G10" s="245" t="str">
        <f>_xlfn.IFNA(VLOOKUP(D10,Race_Calendar!D:H,4,FALSE),"-")</f>
        <v>-</v>
      </c>
      <c r="H10" s="101"/>
      <c r="I10" s="121" t="s">
        <v>75</v>
      </c>
      <c r="J10" s="124" t="s">
        <v>100</v>
      </c>
      <c r="K10" s="123" t="str">
        <f t="shared" si="15"/>
        <v>Base 3-2</v>
      </c>
      <c r="L10" s="102"/>
      <c r="M10" s="99"/>
      <c r="N10" s="103">
        <f>VLOOKUP(K10,ATP_Conditions!M:N,2,FALSE)</f>
        <v>560</v>
      </c>
      <c r="O10" s="31">
        <f>SUM(T10,W10,Z10,AC10,AF10,AI10,AL10,AO10)+ATP_Conditions!$C$7</f>
        <v>620</v>
      </c>
      <c r="P10" s="32">
        <f t="shared" ca="1" si="2"/>
        <v>644</v>
      </c>
      <c r="Q10" s="91">
        <f t="shared" si="3"/>
        <v>60</v>
      </c>
      <c r="R10" s="92">
        <f t="shared" ca="1" si="4"/>
        <v>84</v>
      </c>
      <c r="S10" s="104">
        <f t="shared" si="5"/>
        <v>170</v>
      </c>
      <c r="T10" s="125">
        <v>170</v>
      </c>
      <c r="U10" s="94" cm="1">
        <f t="array" aca="1" ref="U10" ca="1">IF(T$3="None",0,(INDIRECT("TABLE_WTL[@[" &amp; U$4 &amp; "]]")))</f>
        <v>190</v>
      </c>
      <c r="V10" s="104">
        <f t="shared" si="6"/>
        <v>0</v>
      </c>
      <c r="W10" s="125">
        <v>0</v>
      </c>
      <c r="X10" s="94" cm="1">
        <f t="array" aca="1" ref="X10" ca="1">IF(W$3="None",0,(INDIRECT("TABLE_WTL[@[" &amp; X$4 &amp; "]]")))</f>
        <v>0</v>
      </c>
      <c r="Y10" s="104">
        <f t="shared" si="7"/>
        <v>300</v>
      </c>
      <c r="Z10" s="125">
        <v>300</v>
      </c>
      <c r="AA10" s="94" cm="1">
        <f t="array" aca="1" ref="AA10" ca="1">IF(Z$3="None",0,(INDIRECT("TABLE_WTL[@[" &amp; AA$4 &amp; "]]")))</f>
        <v>304</v>
      </c>
      <c r="AB10" s="104">
        <f t="shared" si="8"/>
        <v>150</v>
      </c>
      <c r="AC10" s="125">
        <v>150</v>
      </c>
      <c r="AD10" s="94" cm="1">
        <f t="array" aca="1" ref="AD10" ca="1">IF(AC$3="None",0,(INDIRECT("TABLE_WTL[@[" &amp; AD$4 &amp; "]]")))</f>
        <v>150</v>
      </c>
      <c r="AE10" s="104">
        <f t="shared" si="9"/>
        <v>0</v>
      </c>
      <c r="AF10" s="125">
        <v>0</v>
      </c>
      <c r="AG10" s="94" cm="1">
        <f t="array" aca="1" ref="AG10" ca="1">IF(AF$3="None",0,(INDIRECT("TABLE_WTL[@[" &amp; AG$4 &amp; "]]")))</f>
        <v>0</v>
      </c>
      <c r="AH10" s="104">
        <f t="shared" si="10"/>
        <v>0</v>
      </c>
      <c r="AI10" s="125">
        <v>0</v>
      </c>
      <c r="AJ10" s="94" cm="1">
        <f t="array" aca="1" ref="AJ10" ca="1">IF(AI$3="None",0,(INDIRECT("TABLE_WTL[@[" &amp; AJ$4 &amp; "]]")))</f>
        <v>0</v>
      </c>
      <c r="AK10" s="104">
        <f t="shared" si="11"/>
        <v>0</v>
      </c>
      <c r="AL10" s="125">
        <v>0</v>
      </c>
      <c r="AM10" s="94" cm="1">
        <f t="array" aca="1" ref="AM10" ca="1">IF(AL$3="None",0,(INDIRECT("TABLE_WTL[@[" &amp; AM$4 &amp; "]]")))</f>
        <v>0</v>
      </c>
      <c r="AN10" s="104">
        <f t="shared" si="12"/>
        <v>0</v>
      </c>
      <c r="AO10" s="125">
        <v>0</v>
      </c>
      <c r="AP10" s="94" cm="1">
        <f t="array" aca="1" ref="AP10" ca="1">IF(AO$3="None",0,(INDIRECT("TABLE_WTL[@[" &amp; AP$4 &amp; "]]")))</f>
        <v>0</v>
      </c>
      <c r="AQ10" s="105"/>
      <c r="AR10" s="128"/>
      <c r="AS10" s="132" t="s">
        <v>99</v>
      </c>
      <c r="AT10" s="132" t="s">
        <v>99</v>
      </c>
      <c r="AU10" s="132" t="s">
        <v>99</v>
      </c>
      <c r="AV10" s="132"/>
      <c r="AW10" s="132" t="s">
        <v>99</v>
      </c>
      <c r="AX10" s="133"/>
      <c r="AY10" s="105"/>
      <c r="AZ10" s="148" t="s">
        <v>25</v>
      </c>
      <c r="BA10" s="63"/>
      <c r="BB10" s="141"/>
      <c r="BC10" s="142"/>
      <c r="BD10" s="142"/>
      <c r="BE10" s="142"/>
      <c r="BF10" s="142"/>
      <c r="BG10" s="142"/>
      <c r="BH10" s="142"/>
      <c r="BI10" s="143"/>
      <c r="BJ10" s="63"/>
      <c r="BK10" s="96">
        <f>N10/ATP_Conditions!$C$8</f>
        <v>8</v>
      </c>
    </row>
    <row r="11" spans="1:63" ht="15" thickBot="1" x14ac:dyDescent="0.4">
      <c r="A11" s="31">
        <f t="shared" si="13"/>
        <v>7</v>
      </c>
      <c r="B11" s="97">
        <f t="shared" si="0"/>
        <v>7</v>
      </c>
      <c r="C11" s="98">
        <f t="shared" si="14"/>
        <v>46062</v>
      </c>
      <c r="D11" s="99" t="str">
        <f t="shared" si="1"/>
        <v>7-2026</v>
      </c>
      <c r="E11" s="100" t="str">
        <f>_xlfn.IFNA(VLOOKUP(D11,Race_Calendar!D:F,2,FALSE),"-")</f>
        <v>-</v>
      </c>
      <c r="F11" s="97" t="str">
        <f>_xlfn.IFNA(VLOOKUP($D11,Race_Calendar!$D:$F,3,FALSE),"-")</f>
        <v>-</v>
      </c>
      <c r="G11" s="245" t="str">
        <f>_xlfn.IFNA(VLOOKUP(D11,Race_Calendar!D:H,4,FALSE),"-")</f>
        <v>-</v>
      </c>
      <c r="H11" s="101"/>
      <c r="I11" s="121" t="s">
        <v>75</v>
      </c>
      <c r="J11" s="124" t="s">
        <v>101</v>
      </c>
      <c r="K11" s="123" t="str">
        <f t="shared" si="15"/>
        <v>Base 3-3</v>
      </c>
      <c r="L11" s="102"/>
      <c r="M11" s="99"/>
      <c r="N11" s="103">
        <f>VLOOKUP(K11,ATP_Conditions!M:N,2,FALSE)</f>
        <v>620</v>
      </c>
      <c r="O11" s="31">
        <f>SUM(T11,W11,Z11,AC11,AF11,AI11,AL11,AO11)+ATP_Conditions!$C$7</f>
        <v>680</v>
      </c>
      <c r="P11" s="32">
        <f t="shared" ca="1" si="2"/>
        <v>706</v>
      </c>
      <c r="Q11" s="91">
        <f t="shared" si="3"/>
        <v>60</v>
      </c>
      <c r="R11" s="92">
        <f t="shared" ca="1" si="4"/>
        <v>86</v>
      </c>
      <c r="S11" s="104">
        <f t="shared" si="5"/>
        <v>200</v>
      </c>
      <c r="T11" s="125">
        <v>200</v>
      </c>
      <c r="U11" s="94" cm="1">
        <f t="array" aca="1" ref="U11" ca="1">IF(T$3="None",0,(INDIRECT("TABLE_WTL[@[" &amp; U$4 &amp; "]]")))</f>
        <v>201</v>
      </c>
      <c r="V11" s="104">
        <f t="shared" si="6"/>
        <v>0</v>
      </c>
      <c r="W11" s="125">
        <v>0</v>
      </c>
      <c r="X11" s="94" cm="1">
        <f t="array" aca="1" ref="X11" ca="1">IF(W$3="None",0,(INDIRECT("TABLE_WTL[@[" &amp; X$4 &amp; "]]")))</f>
        <v>0</v>
      </c>
      <c r="Y11" s="104">
        <f t="shared" si="7"/>
        <v>300</v>
      </c>
      <c r="Z11" s="125">
        <v>300</v>
      </c>
      <c r="AA11" s="94" cm="1">
        <f t="array" aca="1" ref="AA11" ca="1">IF(Z$3="None",0,(INDIRECT("TABLE_WTL[@[" &amp; AA$4 &amp; "]]")))</f>
        <v>355</v>
      </c>
      <c r="AB11" s="104">
        <f t="shared" si="8"/>
        <v>180</v>
      </c>
      <c r="AC11" s="125">
        <v>180</v>
      </c>
      <c r="AD11" s="94" cm="1">
        <f t="array" aca="1" ref="AD11" ca="1">IF(AC$3="None",0,(INDIRECT("TABLE_WTL[@[" &amp; AD$4 &amp; "]]")))</f>
        <v>150</v>
      </c>
      <c r="AE11" s="104">
        <f t="shared" si="9"/>
        <v>0</v>
      </c>
      <c r="AF11" s="125">
        <v>0</v>
      </c>
      <c r="AG11" s="94" cm="1">
        <f t="array" aca="1" ref="AG11" ca="1">IF(AF$3="None",0,(INDIRECT("TABLE_WTL[@[" &amp; AG$4 &amp; "]]")))</f>
        <v>0</v>
      </c>
      <c r="AH11" s="104">
        <f t="shared" si="10"/>
        <v>0</v>
      </c>
      <c r="AI11" s="125">
        <v>0</v>
      </c>
      <c r="AJ11" s="94" cm="1">
        <f t="array" aca="1" ref="AJ11" ca="1">IF(AI$3="None",0,(INDIRECT("TABLE_WTL[@[" &amp; AJ$4 &amp; "]]")))</f>
        <v>0</v>
      </c>
      <c r="AK11" s="104">
        <f t="shared" si="11"/>
        <v>0</v>
      </c>
      <c r="AL11" s="125">
        <v>0</v>
      </c>
      <c r="AM11" s="94" cm="1">
        <f t="array" aca="1" ref="AM11" ca="1">IF(AL$3="None",0,(INDIRECT("TABLE_WTL[@[" &amp; AM$4 &amp; "]]")))</f>
        <v>0</v>
      </c>
      <c r="AN11" s="104">
        <f t="shared" si="12"/>
        <v>0</v>
      </c>
      <c r="AO11" s="125">
        <v>0</v>
      </c>
      <c r="AP11" s="94" cm="1">
        <f t="array" aca="1" ref="AP11" ca="1">IF(AO$3="None",0,(INDIRECT("TABLE_WTL[@[" &amp; AP$4 &amp; "]]")))</f>
        <v>0</v>
      </c>
      <c r="AQ11" s="105"/>
      <c r="AR11" s="128"/>
      <c r="AS11" s="132" t="s">
        <v>99</v>
      </c>
      <c r="AT11" s="132" t="s">
        <v>99</v>
      </c>
      <c r="AU11" s="132" t="s">
        <v>99</v>
      </c>
      <c r="AV11" s="132"/>
      <c r="AW11" s="132" t="s">
        <v>99</v>
      </c>
      <c r="AX11" s="133"/>
      <c r="AY11" s="105"/>
      <c r="AZ11" s="148" t="s">
        <v>98</v>
      </c>
      <c r="BA11" s="63"/>
      <c r="BB11" s="141"/>
      <c r="BC11" s="142"/>
      <c r="BD11" s="142"/>
      <c r="BE11" s="142"/>
      <c r="BF11" s="142"/>
      <c r="BG11" s="142"/>
      <c r="BH11" s="142"/>
      <c r="BI11" s="143"/>
      <c r="BJ11" s="63"/>
      <c r="BK11" s="96">
        <f>N11/ATP_Conditions!$C$8</f>
        <v>8.8571428571428577</v>
      </c>
    </row>
    <row r="12" spans="1:63" ht="15" thickBot="1" x14ac:dyDescent="0.4">
      <c r="A12" s="31">
        <f t="shared" si="13"/>
        <v>8</v>
      </c>
      <c r="B12" s="97">
        <f t="shared" si="0"/>
        <v>8</v>
      </c>
      <c r="C12" s="98">
        <f t="shared" si="14"/>
        <v>46069</v>
      </c>
      <c r="D12" s="99" t="str">
        <f t="shared" si="1"/>
        <v>8-2026</v>
      </c>
      <c r="E12" s="100" t="str">
        <f>_xlfn.IFNA(VLOOKUP(D12,Race_Calendar!D:F,2,FALSE),"-")</f>
        <v>-</v>
      </c>
      <c r="F12" s="97" t="str">
        <f>_xlfn.IFNA(VLOOKUP($D12,Race_Calendar!$D:$F,3,FALSE),"-")</f>
        <v>-</v>
      </c>
      <c r="G12" s="245" t="str">
        <f>_xlfn.IFNA(VLOOKUP(D12,Race_Calendar!D:H,4,FALSE),"-")</f>
        <v>-</v>
      </c>
      <c r="H12" s="101"/>
      <c r="I12" s="121" t="s">
        <v>75</v>
      </c>
      <c r="J12" s="124" t="s">
        <v>102</v>
      </c>
      <c r="K12" s="123" t="str">
        <f t="shared" si="15"/>
        <v>Base 3-4</v>
      </c>
      <c r="L12" s="102"/>
      <c r="M12" s="99"/>
      <c r="N12" s="103">
        <f>VLOOKUP(K12,ATP_Conditions!M:N,2,FALSE)</f>
        <v>360</v>
      </c>
      <c r="O12" s="31">
        <f>SUM(T12,W12,Z12,AC12,AF12,AI12,AL12,AO12)+ATP_Conditions!$C$7</f>
        <v>400</v>
      </c>
      <c r="P12" s="32">
        <f t="shared" ca="1" si="2"/>
        <v>398</v>
      </c>
      <c r="Q12" s="91">
        <f t="shared" si="3"/>
        <v>40</v>
      </c>
      <c r="R12" s="92">
        <f t="shared" ca="1" si="4"/>
        <v>38</v>
      </c>
      <c r="S12" s="104">
        <f t="shared" si="5"/>
        <v>100</v>
      </c>
      <c r="T12" s="125">
        <v>100</v>
      </c>
      <c r="U12" s="94" cm="1">
        <f t="array" aca="1" ref="U12" ca="1">IF(T$3="None",0,(INDIRECT("TABLE_WTL[@[" &amp; U$4 &amp; "]]")))</f>
        <v>90</v>
      </c>
      <c r="V12" s="104">
        <f t="shared" si="6"/>
        <v>0</v>
      </c>
      <c r="W12" s="125">
        <v>0</v>
      </c>
      <c r="X12" s="94" cm="1">
        <f t="array" aca="1" ref="X12" ca="1">IF(W$3="None",0,(INDIRECT("TABLE_WTL[@[" &amp; X$4 &amp; "]]")))</f>
        <v>0</v>
      </c>
      <c r="Y12" s="104">
        <f t="shared" si="7"/>
        <v>150</v>
      </c>
      <c r="Z12" s="125">
        <v>150</v>
      </c>
      <c r="AA12" s="94" cm="1">
        <f t="array" aca="1" ref="AA12" ca="1">IF(Z$3="None",0,(INDIRECT("TABLE_WTL[@[" &amp; AA$4 &amp; "]]")))</f>
        <v>158</v>
      </c>
      <c r="AB12" s="104">
        <f t="shared" si="8"/>
        <v>150</v>
      </c>
      <c r="AC12" s="125">
        <v>150</v>
      </c>
      <c r="AD12" s="94" cm="1">
        <f t="array" aca="1" ref="AD12" ca="1">IF(AC$3="None",0,(INDIRECT("TABLE_WTL[@[" &amp; AD$4 &amp; "]]")))</f>
        <v>150</v>
      </c>
      <c r="AE12" s="104">
        <f t="shared" si="9"/>
        <v>0</v>
      </c>
      <c r="AF12" s="125">
        <v>0</v>
      </c>
      <c r="AG12" s="94" cm="1">
        <f t="array" aca="1" ref="AG12" ca="1">IF(AF$3="None",0,(INDIRECT("TABLE_WTL[@[" &amp; AG$4 &amp; "]]")))</f>
        <v>0</v>
      </c>
      <c r="AH12" s="104">
        <f t="shared" si="10"/>
        <v>0</v>
      </c>
      <c r="AI12" s="125">
        <v>0</v>
      </c>
      <c r="AJ12" s="94" cm="1">
        <f t="array" aca="1" ref="AJ12" ca="1">IF(AI$3="None",0,(INDIRECT("TABLE_WTL[@[" &amp; AJ$4 &amp; "]]")))</f>
        <v>0</v>
      </c>
      <c r="AK12" s="104">
        <f t="shared" si="11"/>
        <v>0</v>
      </c>
      <c r="AL12" s="125">
        <v>0</v>
      </c>
      <c r="AM12" s="94" cm="1">
        <f t="array" aca="1" ref="AM12" ca="1">IF(AL$3="None",0,(INDIRECT("TABLE_WTL[@[" &amp; AM$4 &amp; "]]")))</f>
        <v>0</v>
      </c>
      <c r="AN12" s="104">
        <f t="shared" si="12"/>
        <v>0</v>
      </c>
      <c r="AO12" s="125">
        <v>0</v>
      </c>
      <c r="AP12" s="94" cm="1">
        <f t="array" aca="1" ref="AP12" ca="1">IF(AO$3="None",0,(INDIRECT("TABLE_WTL[@[" &amp; AP$4 &amp; "]]")))</f>
        <v>0</v>
      </c>
      <c r="AQ12" s="105"/>
      <c r="AR12" s="128"/>
      <c r="AS12" s="132" t="s">
        <v>99</v>
      </c>
      <c r="AT12" s="132"/>
      <c r="AU12" s="132" t="s">
        <v>99</v>
      </c>
      <c r="AV12" s="132"/>
      <c r="AW12" s="132"/>
      <c r="AX12" s="133"/>
      <c r="AY12" s="105"/>
      <c r="AZ12" s="148"/>
      <c r="BA12" s="63"/>
      <c r="BB12" s="141"/>
      <c r="BC12" s="142"/>
      <c r="BD12" s="142"/>
      <c r="BE12" s="142"/>
      <c r="BF12" s="142"/>
      <c r="BG12" s="142"/>
      <c r="BH12" s="142"/>
      <c r="BI12" s="143"/>
      <c r="BJ12" s="63"/>
      <c r="BK12" s="96">
        <f>N12/ATP_Conditions!$C$8</f>
        <v>5.1428571428571432</v>
      </c>
    </row>
    <row r="13" spans="1:63" ht="15" thickBot="1" x14ac:dyDescent="0.4">
      <c r="A13" s="31">
        <f t="shared" si="13"/>
        <v>9</v>
      </c>
      <c r="B13" s="97">
        <f t="shared" si="0"/>
        <v>9</v>
      </c>
      <c r="C13" s="98">
        <f t="shared" si="14"/>
        <v>46076</v>
      </c>
      <c r="D13" s="99" t="str">
        <f t="shared" si="1"/>
        <v>9-2026</v>
      </c>
      <c r="E13" s="100" t="str">
        <f>_xlfn.IFNA(VLOOKUP(D13,Race_Calendar!D:F,2,FALSE),"-")</f>
        <v>-</v>
      </c>
      <c r="F13" s="97" t="str">
        <f>_xlfn.IFNA(VLOOKUP($D13,Race_Calendar!$D:$F,3,FALSE),"-")</f>
        <v>-</v>
      </c>
      <c r="G13" s="245" t="str">
        <f>_xlfn.IFNA(VLOOKUP(D13,Race_Calendar!D:H,4,FALSE),"-")</f>
        <v>-</v>
      </c>
      <c r="H13" s="101"/>
      <c r="I13" s="121" t="s">
        <v>73</v>
      </c>
      <c r="J13" s="124" t="s">
        <v>99</v>
      </c>
      <c r="K13" s="123" t="str">
        <f t="shared" si="15"/>
        <v>Build 1-1</v>
      </c>
      <c r="L13" s="102"/>
      <c r="M13" s="99"/>
      <c r="N13" s="103">
        <f>VLOOKUP(K13,ATP_Conditions!M:N,2,FALSE)</f>
        <v>560</v>
      </c>
      <c r="O13" s="31">
        <f>SUM(T13,W13,Z13,AC13,AF13,AI13,AL13,AO13)+ATP_Conditions!$C$7</f>
        <v>600</v>
      </c>
      <c r="P13" s="32">
        <f t="shared" ca="1" si="2"/>
        <v>616</v>
      </c>
      <c r="Q13" s="91">
        <f t="shared" si="3"/>
        <v>40</v>
      </c>
      <c r="R13" s="92">
        <f t="shared" ca="1" si="4"/>
        <v>56</v>
      </c>
      <c r="S13" s="104">
        <f t="shared" si="5"/>
        <v>200</v>
      </c>
      <c r="T13" s="125">
        <v>200</v>
      </c>
      <c r="U13" s="94" cm="1">
        <f t="array" aca="1" ref="U13" ca="1">IF(T$3="None",0,(INDIRECT("TABLE_WTL[@[" &amp; U$4 &amp; "]]")))</f>
        <v>198</v>
      </c>
      <c r="V13" s="104">
        <f t="shared" si="6"/>
        <v>0</v>
      </c>
      <c r="W13" s="125">
        <v>0</v>
      </c>
      <c r="X13" s="94" cm="1">
        <f t="array" aca="1" ref="X13" ca="1">IF(W$3="None",0,(INDIRECT("TABLE_WTL[@[" &amp; X$4 &amp; "]]")))</f>
        <v>0</v>
      </c>
      <c r="Y13" s="104">
        <f t="shared" si="7"/>
        <v>220</v>
      </c>
      <c r="Z13" s="125">
        <v>220</v>
      </c>
      <c r="AA13" s="94" cm="1">
        <f t="array" aca="1" ref="AA13" ca="1">IF(Z$3="None",0,(INDIRECT("TABLE_WTL[@[" &amp; AA$4 &amp; "]]")))</f>
        <v>234</v>
      </c>
      <c r="AB13" s="104">
        <f t="shared" si="8"/>
        <v>150</v>
      </c>
      <c r="AC13" s="125">
        <v>150</v>
      </c>
      <c r="AD13" s="94" cm="1">
        <f t="array" aca="1" ref="AD13" ca="1">IF(AC$3="None",0,(INDIRECT("TABLE_WTL[@[" &amp; AD$4 &amp; "]]")))</f>
        <v>150</v>
      </c>
      <c r="AE13" s="104">
        <f t="shared" si="9"/>
        <v>30</v>
      </c>
      <c r="AF13" s="125">
        <v>30</v>
      </c>
      <c r="AG13" s="94" cm="1">
        <f t="array" aca="1" ref="AG13" ca="1">IF(AF$3="None",0,(INDIRECT("TABLE_WTL[@[" &amp; AG$4 &amp; "]]")))</f>
        <v>34</v>
      </c>
      <c r="AH13" s="104">
        <f t="shared" si="10"/>
        <v>0</v>
      </c>
      <c r="AI13" s="125">
        <v>0</v>
      </c>
      <c r="AJ13" s="94" cm="1">
        <f t="array" aca="1" ref="AJ13" ca="1">IF(AI$3="None",0,(INDIRECT("TABLE_WTL[@[" &amp; AJ$4 &amp; "]]")))</f>
        <v>0</v>
      </c>
      <c r="AK13" s="104">
        <f t="shared" si="11"/>
        <v>0</v>
      </c>
      <c r="AL13" s="125">
        <v>0</v>
      </c>
      <c r="AM13" s="94" cm="1">
        <f t="array" aca="1" ref="AM13" ca="1">IF(AL$3="None",0,(INDIRECT("TABLE_WTL[@[" &amp; AM$4 &amp; "]]")))</f>
        <v>0</v>
      </c>
      <c r="AN13" s="104">
        <f t="shared" si="12"/>
        <v>0</v>
      </c>
      <c r="AO13" s="125">
        <v>0</v>
      </c>
      <c r="AP13" s="94" cm="1">
        <f t="array" aca="1" ref="AP13" ca="1">IF(AO$3="None",0,(INDIRECT("TABLE_WTL[@[" &amp; AP$4 &amp; "]]")))</f>
        <v>0</v>
      </c>
      <c r="AQ13" s="105"/>
      <c r="AR13" s="128"/>
      <c r="AS13" s="132" t="s">
        <v>99</v>
      </c>
      <c r="AT13" s="132" t="s">
        <v>99</v>
      </c>
      <c r="AU13" s="132" t="s">
        <v>99</v>
      </c>
      <c r="AV13" s="132" t="s">
        <v>99</v>
      </c>
      <c r="AW13" s="132" t="s">
        <v>99</v>
      </c>
      <c r="AX13" s="133"/>
      <c r="AY13" s="105"/>
      <c r="AZ13" s="148"/>
      <c r="BA13" s="63"/>
      <c r="BB13" s="141"/>
      <c r="BC13" s="142"/>
      <c r="BD13" s="142"/>
      <c r="BE13" s="142"/>
      <c r="BF13" s="142"/>
      <c r="BG13" s="142"/>
      <c r="BH13" s="142"/>
      <c r="BI13" s="143"/>
      <c r="BJ13" s="63"/>
      <c r="BK13" s="96">
        <f>N13/ATP_Conditions!$C$8</f>
        <v>8</v>
      </c>
    </row>
    <row r="14" spans="1:63" ht="15" thickBot="1" x14ac:dyDescent="0.4">
      <c r="A14" s="31">
        <f t="shared" si="13"/>
        <v>10</v>
      </c>
      <c r="B14" s="97">
        <f t="shared" si="0"/>
        <v>10</v>
      </c>
      <c r="C14" s="98">
        <f t="shared" si="14"/>
        <v>46083</v>
      </c>
      <c r="D14" s="99" t="str">
        <f t="shared" si="1"/>
        <v>10-2026</v>
      </c>
      <c r="E14" s="100" t="str">
        <f>_xlfn.IFNA(VLOOKUP(D14,Race_Calendar!D:F,2,FALSE),"-")</f>
        <v>-</v>
      </c>
      <c r="F14" s="97" t="str">
        <f>_xlfn.IFNA(VLOOKUP($D14,Race_Calendar!$D:$F,3,FALSE),"-")</f>
        <v>-</v>
      </c>
      <c r="G14" s="245" t="str">
        <f>_xlfn.IFNA(VLOOKUP(D14,Race_Calendar!D:H,4,FALSE),"-")</f>
        <v>-</v>
      </c>
      <c r="H14" s="101"/>
      <c r="I14" s="121" t="s">
        <v>73</v>
      </c>
      <c r="J14" s="124" t="s">
        <v>100</v>
      </c>
      <c r="K14" s="123" t="str">
        <f t="shared" si="15"/>
        <v>Build 1-2</v>
      </c>
      <c r="L14" s="102"/>
      <c r="M14" s="99"/>
      <c r="N14" s="103">
        <f>VLOOKUP(K14,ATP_Conditions!M:N,2,FALSE)</f>
        <v>560</v>
      </c>
      <c r="O14" s="31">
        <f>SUM(T14,W14,Z14,AC14,AF14,AI14,AL14,AO14)+ATP_Conditions!$C$7</f>
        <v>620</v>
      </c>
      <c r="P14" s="32">
        <f t="shared" ca="1" si="2"/>
        <v>642</v>
      </c>
      <c r="Q14" s="91">
        <f t="shared" si="3"/>
        <v>60</v>
      </c>
      <c r="R14" s="92">
        <f t="shared" ca="1" si="4"/>
        <v>82</v>
      </c>
      <c r="S14" s="104">
        <f t="shared" si="5"/>
        <v>200</v>
      </c>
      <c r="T14" s="125">
        <v>200</v>
      </c>
      <c r="U14" s="94" cm="1">
        <f t="array" aca="1" ref="U14" ca="1">IF(T$3="None",0,(INDIRECT("TABLE_WTL[@[" &amp; U$4 &amp; "]]")))</f>
        <v>234</v>
      </c>
      <c r="V14" s="104">
        <f t="shared" si="6"/>
        <v>0</v>
      </c>
      <c r="W14" s="125">
        <v>0</v>
      </c>
      <c r="X14" s="94" cm="1">
        <f t="array" aca="1" ref="X14" ca="1">IF(W$3="None",0,(INDIRECT("TABLE_WTL[@[" &amp; X$4 &amp; "]]")))</f>
        <v>0</v>
      </c>
      <c r="Y14" s="104">
        <f t="shared" si="7"/>
        <v>220</v>
      </c>
      <c r="Z14" s="125">
        <v>220</v>
      </c>
      <c r="AA14" s="94" cm="1">
        <f t="array" aca="1" ref="AA14" ca="1">IF(Z$3="None",0,(INDIRECT("TABLE_WTL[@[" &amp; AA$4 &amp; "]]")))</f>
        <v>229</v>
      </c>
      <c r="AB14" s="104">
        <f t="shared" si="8"/>
        <v>150</v>
      </c>
      <c r="AC14" s="125">
        <v>150</v>
      </c>
      <c r="AD14" s="94" cm="1">
        <f t="array" aca="1" ref="AD14" ca="1">IF(AC$3="None",0,(INDIRECT("TABLE_WTL[@[" &amp; AD$4 &amp; "]]")))</f>
        <v>150</v>
      </c>
      <c r="AE14" s="104">
        <f t="shared" si="9"/>
        <v>50</v>
      </c>
      <c r="AF14" s="125">
        <v>50</v>
      </c>
      <c r="AG14" s="94" cm="1">
        <f t="array" aca="1" ref="AG14" ca="1">IF(AF$3="None",0,(INDIRECT("TABLE_WTL[@[" &amp; AG$4 &amp; "]]")))</f>
        <v>29</v>
      </c>
      <c r="AH14" s="104">
        <f t="shared" si="10"/>
        <v>0</v>
      </c>
      <c r="AI14" s="125">
        <v>0</v>
      </c>
      <c r="AJ14" s="94" cm="1">
        <f t="array" aca="1" ref="AJ14" ca="1">IF(AI$3="None",0,(INDIRECT("TABLE_WTL[@[" &amp; AJ$4 &amp; "]]")))</f>
        <v>0</v>
      </c>
      <c r="AK14" s="104">
        <f t="shared" si="11"/>
        <v>0</v>
      </c>
      <c r="AL14" s="125">
        <v>0</v>
      </c>
      <c r="AM14" s="94" cm="1">
        <f t="array" aca="1" ref="AM14" ca="1">IF(AL$3="None",0,(INDIRECT("TABLE_WTL[@[" &amp; AM$4 &amp; "]]")))</f>
        <v>0</v>
      </c>
      <c r="AN14" s="104">
        <f t="shared" si="12"/>
        <v>0</v>
      </c>
      <c r="AO14" s="125">
        <v>0</v>
      </c>
      <c r="AP14" s="94" cm="1">
        <f t="array" aca="1" ref="AP14" ca="1">IF(AO$3="None",0,(INDIRECT("TABLE_WTL[@[" &amp; AP$4 &amp; "]]")))</f>
        <v>0</v>
      </c>
      <c r="AQ14" s="105"/>
      <c r="AR14" s="128"/>
      <c r="AS14" s="132" t="s">
        <v>99</v>
      </c>
      <c r="AT14" s="132" t="s">
        <v>99</v>
      </c>
      <c r="AU14" s="132" t="s">
        <v>99</v>
      </c>
      <c r="AV14" s="132" t="s">
        <v>99</v>
      </c>
      <c r="AW14" s="132" t="s">
        <v>99</v>
      </c>
      <c r="AX14" s="133"/>
      <c r="AY14" s="105"/>
      <c r="AZ14" s="148" t="s">
        <v>98</v>
      </c>
      <c r="BA14" s="63"/>
      <c r="BB14" s="141"/>
      <c r="BC14" s="142"/>
      <c r="BD14" s="142"/>
      <c r="BE14" s="142"/>
      <c r="BF14" s="142"/>
      <c r="BG14" s="142"/>
      <c r="BH14" s="142"/>
      <c r="BI14" s="143"/>
      <c r="BJ14" s="63"/>
      <c r="BK14" s="96">
        <f>N14/ATP_Conditions!$C$8</f>
        <v>8</v>
      </c>
    </row>
    <row r="15" spans="1:63" ht="15" thickBot="1" x14ac:dyDescent="0.4">
      <c r="A15" s="31">
        <f t="shared" si="13"/>
        <v>11</v>
      </c>
      <c r="B15" s="97">
        <f t="shared" si="0"/>
        <v>11</v>
      </c>
      <c r="C15" s="98">
        <f t="shared" si="14"/>
        <v>46090</v>
      </c>
      <c r="D15" s="99" t="str">
        <f t="shared" si="1"/>
        <v>11-2026</v>
      </c>
      <c r="E15" s="100" t="str">
        <f>_xlfn.IFNA(VLOOKUP(D15,Race_Calendar!D:F,2,FALSE),"-")</f>
        <v>-</v>
      </c>
      <c r="F15" s="97" t="str">
        <f>_xlfn.IFNA(VLOOKUP($D15,Race_Calendar!$D:$F,3,FALSE),"-")</f>
        <v>-</v>
      </c>
      <c r="G15" s="245" t="str">
        <f>_xlfn.IFNA(VLOOKUP(D15,Race_Calendar!D:H,4,FALSE),"-")</f>
        <v>-</v>
      </c>
      <c r="H15" s="101"/>
      <c r="I15" s="121" t="s">
        <v>73</v>
      </c>
      <c r="J15" s="124" t="s">
        <v>101</v>
      </c>
      <c r="K15" s="123" t="str">
        <f t="shared" si="15"/>
        <v>Build 1-3</v>
      </c>
      <c r="L15" s="102"/>
      <c r="M15" s="99"/>
      <c r="N15" s="103">
        <f>VLOOKUP(K15,ATP_Conditions!M:N,2,FALSE)</f>
        <v>560</v>
      </c>
      <c r="O15" s="31">
        <f>SUM(T15,W15,Z15,AC15,AF15,AI15,AL15,AO15)+ATP_Conditions!$C$7</f>
        <v>620</v>
      </c>
      <c r="P15" s="32">
        <f t="shared" ca="1" si="2"/>
        <v>621</v>
      </c>
      <c r="Q15" s="91">
        <f t="shared" si="3"/>
        <v>60</v>
      </c>
      <c r="R15" s="92">
        <f t="shared" ca="1" si="4"/>
        <v>61</v>
      </c>
      <c r="S15" s="104">
        <f t="shared" si="5"/>
        <v>200</v>
      </c>
      <c r="T15" s="125">
        <v>200</v>
      </c>
      <c r="U15" s="94" cm="1">
        <f t="array" aca="1" ref="U15" ca="1">IF(T$3="None",0,(INDIRECT("TABLE_WTL[@[" &amp; U$4 &amp; "]]")))</f>
        <v>194</v>
      </c>
      <c r="V15" s="104">
        <f t="shared" si="6"/>
        <v>0</v>
      </c>
      <c r="W15" s="125">
        <v>0</v>
      </c>
      <c r="X15" s="94" cm="1">
        <f t="array" aca="1" ref="X15" ca="1">IF(W$3="None",0,(INDIRECT("TABLE_WTL[@[" &amp; X$4 &amp; "]]")))</f>
        <v>0</v>
      </c>
      <c r="Y15" s="104">
        <f t="shared" si="7"/>
        <v>220</v>
      </c>
      <c r="Z15" s="125">
        <v>220</v>
      </c>
      <c r="AA15" s="94" cm="1">
        <f t="array" aca="1" ref="AA15" ca="1">IF(Z$3="None",0,(INDIRECT("TABLE_WTL[@[" &amp; AA$4 &amp; "]]")))</f>
        <v>231</v>
      </c>
      <c r="AB15" s="104">
        <f t="shared" si="8"/>
        <v>150</v>
      </c>
      <c r="AC15" s="125">
        <v>150</v>
      </c>
      <c r="AD15" s="94" cm="1">
        <f t="array" aca="1" ref="AD15" ca="1">IF(AC$3="None",0,(INDIRECT("TABLE_WTL[@[" &amp; AD$4 &amp; "]]")))</f>
        <v>150</v>
      </c>
      <c r="AE15" s="104">
        <f t="shared" si="9"/>
        <v>50</v>
      </c>
      <c r="AF15" s="125">
        <v>50</v>
      </c>
      <c r="AG15" s="94" cm="1">
        <f t="array" aca="1" ref="AG15" ca="1">IF(AF$3="None",0,(INDIRECT("TABLE_WTL[@[" &amp; AG$4 &amp; "]]")))</f>
        <v>46</v>
      </c>
      <c r="AH15" s="104">
        <f t="shared" si="10"/>
        <v>0</v>
      </c>
      <c r="AI15" s="125">
        <v>0</v>
      </c>
      <c r="AJ15" s="94" cm="1">
        <f t="array" aca="1" ref="AJ15" ca="1">IF(AI$3="None",0,(INDIRECT("TABLE_WTL[@[" &amp; AJ$4 &amp; "]]")))</f>
        <v>0</v>
      </c>
      <c r="AK15" s="104">
        <f t="shared" si="11"/>
        <v>0</v>
      </c>
      <c r="AL15" s="125">
        <v>0</v>
      </c>
      <c r="AM15" s="94" cm="1">
        <f t="array" aca="1" ref="AM15" ca="1">IF(AL$3="None",0,(INDIRECT("TABLE_WTL[@[" &amp; AM$4 &amp; "]]")))</f>
        <v>0</v>
      </c>
      <c r="AN15" s="104">
        <f t="shared" si="12"/>
        <v>0</v>
      </c>
      <c r="AO15" s="125">
        <v>0</v>
      </c>
      <c r="AP15" s="94" cm="1">
        <f t="array" aca="1" ref="AP15" ca="1">IF(AO$3="None",0,(INDIRECT("TABLE_WTL[@[" &amp; AP$4 &amp; "]]")))</f>
        <v>0</v>
      </c>
      <c r="AQ15" s="105"/>
      <c r="AR15" s="128"/>
      <c r="AS15" s="132" t="s">
        <v>99</v>
      </c>
      <c r="AT15" s="132" t="s">
        <v>99</v>
      </c>
      <c r="AU15" s="132" t="s">
        <v>99</v>
      </c>
      <c r="AV15" s="132" t="s">
        <v>99</v>
      </c>
      <c r="AW15" s="132">
        <v>1</v>
      </c>
      <c r="AX15" s="133"/>
      <c r="AY15" s="105"/>
      <c r="AZ15" s="148" t="s">
        <v>25</v>
      </c>
      <c r="BA15" s="63"/>
      <c r="BB15" s="141"/>
      <c r="BC15" s="142"/>
      <c r="BD15" s="142"/>
      <c r="BE15" s="142"/>
      <c r="BF15" s="142"/>
      <c r="BG15" s="142"/>
      <c r="BH15" s="142"/>
      <c r="BI15" s="143"/>
      <c r="BJ15" s="63"/>
      <c r="BK15" s="96">
        <f>N15/ATP_Conditions!$C$8</f>
        <v>8</v>
      </c>
    </row>
    <row r="16" spans="1:63" ht="15" thickBot="1" x14ac:dyDescent="0.4">
      <c r="A16" s="31">
        <f t="shared" si="13"/>
        <v>12</v>
      </c>
      <c r="B16" s="97">
        <f t="shared" si="0"/>
        <v>12</v>
      </c>
      <c r="C16" s="98">
        <f t="shared" si="14"/>
        <v>46097</v>
      </c>
      <c r="D16" s="99" t="str">
        <f t="shared" si="1"/>
        <v>12-2026</v>
      </c>
      <c r="E16" s="100" t="str">
        <f>_xlfn.IFNA(VLOOKUP(D16,Race_Calendar!D:F,2,FALSE),"-")</f>
        <v>-</v>
      </c>
      <c r="F16" s="97" t="str">
        <f>_xlfn.IFNA(VLOOKUP($D16,Race_Calendar!$D:$F,3,FALSE),"-")</f>
        <v>-</v>
      </c>
      <c r="G16" s="245" t="str">
        <f>_xlfn.IFNA(VLOOKUP(D16,Race_Calendar!D:H,4,FALSE),"-")</f>
        <v>-</v>
      </c>
      <c r="H16" s="101"/>
      <c r="I16" s="121" t="s">
        <v>73</v>
      </c>
      <c r="J16" s="124" t="s">
        <v>102</v>
      </c>
      <c r="K16" s="123" t="str">
        <f t="shared" si="15"/>
        <v>Build 1-4</v>
      </c>
      <c r="L16" s="102"/>
      <c r="M16" s="99"/>
      <c r="N16" s="103">
        <f>VLOOKUP(K16,ATP_Conditions!M:N,2,FALSE)</f>
        <v>360</v>
      </c>
      <c r="O16" s="31">
        <f>SUM(T16,W16,Z16,AC16,AF16,AI16,AL16,AO16)+ATP_Conditions!$C$7</f>
        <v>400</v>
      </c>
      <c r="P16" s="32">
        <f t="shared" ca="1" si="2"/>
        <v>432</v>
      </c>
      <c r="Q16" s="91">
        <f t="shared" si="3"/>
        <v>40</v>
      </c>
      <c r="R16" s="92">
        <f t="shared" ca="1" si="4"/>
        <v>72</v>
      </c>
      <c r="S16" s="104">
        <f t="shared" si="5"/>
        <v>120</v>
      </c>
      <c r="T16" s="125">
        <v>120</v>
      </c>
      <c r="U16" s="94" cm="1">
        <f t="array" aca="1" ref="U16" ca="1">IF(T$3="None",0,(INDIRECT("TABLE_WTL[@[" &amp; U$4 &amp; "]]")))</f>
        <v>133</v>
      </c>
      <c r="V16" s="104">
        <f t="shared" si="6"/>
        <v>0</v>
      </c>
      <c r="W16" s="125">
        <v>0</v>
      </c>
      <c r="X16" s="94" cm="1">
        <f t="array" aca="1" ref="X16" ca="1">IF(W$3="None",0,(INDIRECT("TABLE_WTL[@[" &amp; X$4 &amp; "]]")))</f>
        <v>0</v>
      </c>
      <c r="Y16" s="104">
        <f t="shared" si="7"/>
        <v>100</v>
      </c>
      <c r="Z16" s="125">
        <v>100</v>
      </c>
      <c r="AA16" s="94" cm="1">
        <f t="array" aca="1" ref="AA16" ca="1">IF(Z$3="None",0,(INDIRECT("TABLE_WTL[@[" &amp; AA$4 &amp; "]]")))</f>
        <v>118</v>
      </c>
      <c r="AB16" s="104">
        <f t="shared" si="8"/>
        <v>150</v>
      </c>
      <c r="AC16" s="125">
        <v>150</v>
      </c>
      <c r="AD16" s="94" cm="1">
        <f t="array" aca="1" ref="AD16" ca="1">IF(AC$3="None",0,(INDIRECT("TABLE_WTL[@[" &amp; AD$4 &amp; "]]")))</f>
        <v>150</v>
      </c>
      <c r="AE16" s="104">
        <f t="shared" si="9"/>
        <v>30</v>
      </c>
      <c r="AF16" s="125">
        <v>30</v>
      </c>
      <c r="AG16" s="94" cm="1">
        <f t="array" aca="1" ref="AG16" ca="1">IF(AF$3="None",0,(INDIRECT("TABLE_WTL[@[" &amp; AG$4 &amp; "]]")))</f>
        <v>31</v>
      </c>
      <c r="AH16" s="104">
        <f t="shared" si="10"/>
        <v>0</v>
      </c>
      <c r="AI16" s="125">
        <v>0</v>
      </c>
      <c r="AJ16" s="94" cm="1">
        <f t="array" aca="1" ref="AJ16" ca="1">IF(AI$3="None",0,(INDIRECT("TABLE_WTL[@[" &amp; AJ$4 &amp; "]]")))</f>
        <v>0</v>
      </c>
      <c r="AK16" s="104">
        <f t="shared" si="11"/>
        <v>0</v>
      </c>
      <c r="AL16" s="125">
        <v>0</v>
      </c>
      <c r="AM16" s="94" cm="1">
        <f t="array" aca="1" ref="AM16" ca="1">IF(AL$3="None",0,(INDIRECT("TABLE_WTL[@[" &amp; AM$4 &amp; "]]")))</f>
        <v>0</v>
      </c>
      <c r="AN16" s="104">
        <f t="shared" si="12"/>
        <v>0</v>
      </c>
      <c r="AO16" s="125">
        <v>0</v>
      </c>
      <c r="AP16" s="94" cm="1">
        <f t="array" aca="1" ref="AP16" ca="1">IF(AO$3="None",0,(INDIRECT("TABLE_WTL[@[" &amp; AP$4 &amp; "]]")))</f>
        <v>0</v>
      </c>
      <c r="AQ16" s="105"/>
      <c r="AR16" s="128"/>
      <c r="AS16" s="132" t="s">
        <v>99</v>
      </c>
      <c r="AT16" s="132"/>
      <c r="AU16" s="132" t="s">
        <v>99</v>
      </c>
      <c r="AV16" s="132"/>
      <c r="AW16" s="132"/>
      <c r="AX16" s="133"/>
      <c r="AY16" s="105"/>
      <c r="AZ16" s="148"/>
      <c r="BA16" s="63"/>
      <c r="BB16" s="141"/>
      <c r="BC16" s="142"/>
      <c r="BD16" s="142"/>
      <c r="BE16" s="142"/>
      <c r="BF16" s="142"/>
      <c r="BG16" s="142"/>
      <c r="BH16" s="142"/>
      <c r="BI16" s="143"/>
      <c r="BJ16" s="63"/>
      <c r="BK16" s="96">
        <f>N16/ATP_Conditions!$C$8</f>
        <v>5.1428571428571432</v>
      </c>
    </row>
    <row r="17" spans="1:63" ht="15" thickBot="1" x14ac:dyDescent="0.4">
      <c r="A17" s="31">
        <f t="shared" si="13"/>
        <v>13</v>
      </c>
      <c r="B17" s="97">
        <f t="shared" si="0"/>
        <v>13</v>
      </c>
      <c r="C17" s="98">
        <f t="shared" si="14"/>
        <v>46104</v>
      </c>
      <c r="D17" s="99" t="str">
        <f t="shared" si="1"/>
        <v>13-2026</v>
      </c>
      <c r="E17" s="100" t="str">
        <f>_xlfn.IFNA(VLOOKUP(D17,Race_Calendar!D:F,2,FALSE),"-")</f>
        <v>-</v>
      </c>
      <c r="F17" s="97" t="str">
        <f>_xlfn.IFNA(VLOOKUP($D17,Race_Calendar!$D:$F,3,FALSE),"-")</f>
        <v>-</v>
      </c>
      <c r="G17" s="245" t="str">
        <f>_xlfn.IFNA(VLOOKUP(D17,Race_Calendar!D:H,4,FALSE),"-")</f>
        <v>-</v>
      </c>
      <c r="H17" s="101"/>
      <c r="I17" s="121" t="s">
        <v>74</v>
      </c>
      <c r="J17" s="124" t="s">
        <v>99</v>
      </c>
      <c r="K17" s="123" t="str">
        <f t="shared" si="15"/>
        <v>Build 2-1</v>
      </c>
      <c r="L17" s="102"/>
      <c r="M17" s="99"/>
      <c r="N17" s="103">
        <f>VLOOKUP(K17,ATP_Conditions!M:N,2,FALSE)</f>
        <v>620</v>
      </c>
      <c r="O17" s="31">
        <f>SUM(T17,W17,Z17,AC17,AF17,AI17,AL17,AO17)+ATP_Conditions!$C$7</f>
        <v>680</v>
      </c>
      <c r="P17" s="32">
        <f t="shared" ca="1" si="2"/>
        <v>666</v>
      </c>
      <c r="Q17" s="91">
        <f t="shared" si="3"/>
        <v>60</v>
      </c>
      <c r="R17" s="92">
        <f t="shared" ca="1" si="4"/>
        <v>46</v>
      </c>
      <c r="S17" s="104">
        <f t="shared" si="5"/>
        <v>230</v>
      </c>
      <c r="T17" s="125">
        <v>230</v>
      </c>
      <c r="U17" s="94" cm="1">
        <f t="array" aca="1" ref="U17" ca="1">IF(T$3="None",0,(INDIRECT("TABLE_WTL[@[" &amp; U$4 &amp; "]]")))</f>
        <v>229</v>
      </c>
      <c r="V17" s="104">
        <f t="shared" si="6"/>
        <v>0</v>
      </c>
      <c r="W17" s="125">
        <v>0</v>
      </c>
      <c r="X17" s="94" cm="1">
        <f t="array" aca="1" ref="X17" ca="1">IF(W$3="None",0,(INDIRECT("TABLE_WTL[@[" &amp; X$4 &amp; "]]")))</f>
        <v>0</v>
      </c>
      <c r="Y17" s="104">
        <f t="shared" si="7"/>
        <v>250</v>
      </c>
      <c r="Z17" s="125">
        <v>250</v>
      </c>
      <c r="AA17" s="94" cm="1">
        <f t="array" aca="1" ref="AA17" ca="1">IF(Z$3="None",0,(INDIRECT("TABLE_WTL[@[" &amp; AA$4 &amp; "]]")))</f>
        <v>253</v>
      </c>
      <c r="AB17" s="104">
        <f t="shared" si="8"/>
        <v>150</v>
      </c>
      <c r="AC17" s="125">
        <v>150</v>
      </c>
      <c r="AD17" s="94" cm="1">
        <f t="array" aca="1" ref="AD17" ca="1">IF(AC$3="None",0,(INDIRECT("TABLE_WTL[@[" &amp; AD$4 &amp; "]]")))</f>
        <v>150</v>
      </c>
      <c r="AE17" s="104">
        <f t="shared" si="9"/>
        <v>50</v>
      </c>
      <c r="AF17" s="125">
        <v>50</v>
      </c>
      <c r="AG17" s="94" cm="1">
        <f t="array" aca="1" ref="AG17" ca="1">IF(AF$3="None",0,(INDIRECT("TABLE_WTL[@[" &amp; AG$4 &amp; "]]")))</f>
        <v>34</v>
      </c>
      <c r="AH17" s="104">
        <f t="shared" si="10"/>
        <v>0</v>
      </c>
      <c r="AI17" s="125">
        <v>0</v>
      </c>
      <c r="AJ17" s="94" cm="1">
        <f t="array" aca="1" ref="AJ17" ca="1">IF(AI$3="None",0,(INDIRECT("TABLE_WTL[@[" &amp; AJ$4 &amp; "]]")))</f>
        <v>0</v>
      </c>
      <c r="AK17" s="104">
        <f t="shared" si="11"/>
        <v>0</v>
      </c>
      <c r="AL17" s="125">
        <v>0</v>
      </c>
      <c r="AM17" s="94" cm="1">
        <f t="array" aca="1" ref="AM17" ca="1">IF(AL$3="None",0,(INDIRECT("TABLE_WTL[@[" &amp; AM$4 &amp; "]]")))</f>
        <v>0</v>
      </c>
      <c r="AN17" s="104">
        <f t="shared" si="12"/>
        <v>0</v>
      </c>
      <c r="AO17" s="125">
        <v>0</v>
      </c>
      <c r="AP17" s="94" cm="1">
        <f t="array" aca="1" ref="AP17" ca="1">IF(AO$3="None",0,(INDIRECT("TABLE_WTL[@[" &amp; AP$4 &amp; "]]")))</f>
        <v>0</v>
      </c>
      <c r="AQ17" s="105"/>
      <c r="AR17" s="128"/>
      <c r="AS17" s="132" t="s">
        <v>99</v>
      </c>
      <c r="AT17" s="132" t="s">
        <v>99</v>
      </c>
      <c r="AU17" s="132" t="s">
        <v>99</v>
      </c>
      <c r="AV17" s="132" t="s">
        <v>99</v>
      </c>
      <c r="AW17" s="132" t="s">
        <v>99</v>
      </c>
      <c r="AX17" s="133"/>
      <c r="AY17" s="105"/>
      <c r="AZ17" s="148"/>
      <c r="BA17" s="63"/>
      <c r="BB17" s="141"/>
      <c r="BC17" s="142"/>
      <c r="BD17" s="142"/>
      <c r="BE17" s="142"/>
      <c r="BF17" s="142"/>
      <c r="BG17" s="142"/>
      <c r="BH17" s="142"/>
      <c r="BI17" s="143"/>
      <c r="BJ17" s="63"/>
      <c r="BK17" s="96">
        <f>N17/ATP_Conditions!$C$8</f>
        <v>8.8571428571428577</v>
      </c>
    </row>
    <row r="18" spans="1:63" ht="15" thickBot="1" x14ac:dyDescent="0.4">
      <c r="A18" s="31">
        <f t="shared" si="13"/>
        <v>14</v>
      </c>
      <c r="B18" s="97">
        <f t="shared" si="0"/>
        <v>14</v>
      </c>
      <c r="C18" s="98">
        <f t="shared" si="14"/>
        <v>46111</v>
      </c>
      <c r="D18" s="99" t="str">
        <f t="shared" si="1"/>
        <v>14-2026</v>
      </c>
      <c r="E18" s="100" t="str">
        <f>_xlfn.IFNA(VLOOKUP(D18,Race_Calendar!D:F,2,FALSE),"-")</f>
        <v>-</v>
      </c>
      <c r="F18" s="97" t="str">
        <f>_xlfn.IFNA(VLOOKUP($D18,Race_Calendar!$D:$F,3,FALSE),"-")</f>
        <v>-</v>
      </c>
      <c r="G18" s="245" t="str">
        <f>_xlfn.IFNA(VLOOKUP(D18,Race_Calendar!D:H,4,FALSE),"-")</f>
        <v>-</v>
      </c>
      <c r="H18" s="101"/>
      <c r="I18" s="121" t="s">
        <v>74</v>
      </c>
      <c r="J18" s="124" t="s">
        <v>100</v>
      </c>
      <c r="K18" s="123" t="str">
        <f t="shared" si="15"/>
        <v>Build 2-2</v>
      </c>
      <c r="L18" s="102"/>
      <c r="M18" s="99"/>
      <c r="N18" s="103">
        <f>VLOOKUP(K18,ATP_Conditions!M:N,2,FALSE)</f>
        <v>620</v>
      </c>
      <c r="O18" s="31">
        <f>SUM(T18,W18,Z18,AC18,AF18,AI18,AL18,AO18)+ATP_Conditions!$C$7</f>
        <v>680</v>
      </c>
      <c r="P18" s="32">
        <f t="shared" ca="1" si="2"/>
        <v>664</v>
      </c>
      <c r="Q18" s="91">
        <f t="shared" si="3"/>
        <v>60</v>
      </c>
      <c r="R18" s="92">
        <f t="shared" ca="1" si="4"/>
        <v>44</v>
      </c>
      <c r="S18" s="104">
        <f t="shared" si="5"/>
        <v>230</v>
      </c>
      <c r="T18" s="125">
        <v>230</v>
      </c>
      <c r="U18" s="94" cm="1">
        <f t="array" aca="1" ref="U18" ca="1">IF(T$3="None",0,(INDIRECT("TABLE_WTL[@[" &amp; U$4 &amp; "]]")))</f>
        <v>226</v>
      </c>
      <c r="V18" s="104">
        <f t="shared" si="6"/>
        <v>0</v>
      </c>
      <c r="W18" s="125">
        <v>0</v>
      </c>
      <c r="X18" s="94" cm="1">
        <f t="array" aca="1" ref="X18" ca="1">IF(W$3="None",0,(INDIRECT("TABLE_WTL[@[" &amp; X$4 &amp; "]]")))</f>
        <v>0</v>
      </c>
      <c r="Y18" s="104">
        <f t="shared" si="7"/>
        <v>250</v>
      </c>
      <c r="Z18" s="125">
        <v>250</v>
      </c>
      <c r="AA18" s="94" cm="1">
        <f t="array" aca="1" ref="AA18" ca="1">IF(Z$3="None",0,(INDIRECT("TABLE_WTL[@[" &amp; AA$4 &amp; "]]")))</f>
        <v>254</v>
      </c>
      <c r="AB18" s="104">
        <f t="shared" si="8"/>
        <v>150</v>
      </c>
      <c r="AC18" s="125">
        <v>150</v>
      </c>
      <c r="AD18" s="94" cm="1">
        <f t="array" aca="1" ref="AD18" ca="1">IF(AC$3="None",0,(INDIRECT("TABLE_WTL[@[" &amp; AD$4 &amp; "]]")))</f>
        <v>150</v>
      </c>
      <c r="AE18" s="104">
        <f t="shared" si="9"/>
        <v>50</v>
      </c>
      <c r="AF18" s="125">
        <v>50</v>
      </c>
      <c r="AG18" s="94" cm="1">
        <f t="array" aca="1" ref="AG18" ca="1">IF(AF$3="None",0,(INDIRECT("TABLE_WTL[@[" &amp; AG$4 &amp; "]]")))</f>
        <v>34</v>
      </c>
      <c r="AH18" s="104">
        <f t="shared" si="10"/>
        <v>0</v>
      </c>
      <c r="AI18" s="125">
        <v>0</v>
      </c>
      <c r="AJ18" s="94" cm="1">
        <f t="array" aca="1" ref="AJ18" ca="1">IF(AI$3="None",0,(INDIRECT("TABLE_WTL[@[" &amp; AJ$4 &amp; "]]")))</f>
        <v>0</v>
      </c>
      <c r="AK18" s="104">
        <f t="shared" si="11"/>
        <v>0</v>
      </c>
      <c r="AL18" s="125">
        <v>0</v>
      </c>
      <c r="AM18" s="94" cm="1">
        <f t="array" aca="1" ref="AM18" ca="1">IF(AL$3="None",0,(INDIRECT("TABLE_WTL[@[" &amp; AM$4 &amp; "]]")))</f>
        <v>0</v>
      </c>
      <c r="AN18" s="104">
        <f t="shared" si="12"/>
        <v>0</v>
      </c>
      <c r="AO18" s="125">
        <v>0</v>
      </c>
      <c r="AP18" s="94" cm="1">
        <f t="array" aca="1" ref="AP18" ca="1">IF(AO$3="None",0,(INDIRECT("TABLE_WTL[@[" &amp; AP$4 &amp; "]]")))</f>
        <v>0</v>
      </c>
      <c r="AQ18" s="105"/>
      <c r="AR18" s="128"/>
      <c r="AS18" s="132" t="s">
        <v>99</v>
      </c>
      <c r="AT18" s="132" t="s">
        <v>99</v>
      </c>
      <c r="AU18" s="132" t="s">
        <v>99</v>
      </c>
      <c r="AV18" s="132" t="s">
        <v>99</v>
      </c>
      <c r="AW18" s="132" t="s">
        <v>99</v>
      </c>
      <c r="AX18" s="133"/>
      <c r="AY18" s="105"/>
      <c r="AZ18" s="148" t="s">
        <v>98</v>
      </c>
      <c r="BA18" s="63"/>
      <c r="BB18" s="141"/>
      <c r="BC18" s="142"/>
      <c r="BD18" s="142"/>
      <c r="BE18" s="142"/>
      <c r="BF18" s="142"/>
      <c r="BG18" s="142"/>
      <c r="BH18" s="142"/>
      <c r="BI18" s="143"/>
      <c r="BJ18" s="63"/>
      <c r="BK18" s="96">
        <f>N18/ATP_Conditions!$C$8</f>
        <v>8.8571428571428577</v>
      </c>
    </row>
    <row r="19" spans="1:63" ht="15" thickBot="1" x14ac:dyDescent="0.4">
      <c r="A19" s="31">
        <f t="shared" si="13"/>
        <v>15</v>
      </c>
      <c r="B19" s="106">
        <f t="shared" si="0"/>
        <v>15</v>
      </c>
      <c r="C19" s="98">
        <f t="shared" si="14"/>
        <v>46118</v>
      </c>
      <c r="D19" s="107" t="str">
        <f t="shared" si="1"/>
        <v>15-2026</v>
      </c>
      <c r="E19" s="108" t="str">
        <f>_xlfn.IFNA(VLOOKUP(D19,Race_Calendar!D:F,2,FALSE),"-")</f>
        <v>-</v>
      </c>
      <c r="F19" s="106" t="str">
        <f>_xlfn.IFNA(VLOOKUP($D19,Race_Calendar!$D:$F,3,FALSE),"-")</f>
        <v>-</v>
      </c>
      <c r="G19" s="246" t="str">
        <f>_xlfn.IFNA(VLOOKUP(D19,Race_Calendar!D:H,4,FALSE),"-")</f>
        <v>-</v>
      </c>
      <c r="H19" s="109"/>
      <c r="I19" s="121" t="s">
        <v>74</v>
      </c>
      <c r="J19" s="124" t="s">
        <v>101</v>
      </c>
      <c r="K19" s="123" t="str">
        <f t="shared" si="15"/>
        <v>Build 2-3</v>
      </c>
      <c r="L19" s="102"/>
      <c r="M19" s="99"/>
      <c r="N19" s="103">
        <f>VLOOKUP(K19,ATP_Conditions!M:N,2,FALSE)</f>
        <v>620</v>
      </c>
      <c r="O19" s="31">
        <f>SUM(T19,W19,Z19,AC19,AF19,AI19,AL19,AO19)+ATP_Conditions!$C$7</f>
        <v>680</v>
      </c>
      <c r="P19" s="32">
        <f t="shared" ca="1" si="2"/>
        <v>683</v>
      </c>
      <c r="Q19" s="91">
        <f t="shared" si="3"/>
        <v>60</v>
      </c>
      <c r="R19" s="92">
        <f t="shared" ca="1" si="4"/>
        <v>63</v>
      </c>
      <c r="S19" s="104">
        <f t="shared" si="5"/>
        <v>230</v>
      </c>
      <c r="T19" s="125">
        <v>230</v>
      </c>
      <c r="U19" s="94" cm="1">
        <f t="array" aca="1" ref="U19" ca="1">IF(T$3="None",0,(INDIRECT("TABLE_WTL[@[" &amp; U$4 &amp; "]]")))</f>
        <v>228</v>
      </c>
      <c r="V19" s="104">
        <f t="shared" si="6"/>
        <v>0</v>
      </c>
      <c r="W19" s="125">
        <v>0</v>
      </c>
      <c r="X19" s="94" cm="1">
        <f t="array" aca="1" ref="X19" ca="1">IF(W$3="None",0,(INDIRECT("TABLE_WTL[@[" &amp; X$4 &amp; "]]")))</f>
        <v>0</v>
      </c>
      <c r="Y19" s="104">
        <f t="shared" si="7"/>
        <v>250</v>
      </c>
      <c r="Z19" s="125">
        <v>250</v>
      </c>
      <c r="AA19" s="94" cm="1">
        <f t="array" aca="1" ref="AA19" ca="1">IF(Z$3="None",0,(INDIRECT("TABLE_WTL[@[" &amp; AA$4 &amp; "]]")))</f>
        <v>255</v>
      </c>
      <c r="AB19" s="104">
        <f t="shared" si="8"/>
        <v>150</v>
      </c>
      <c r="AC19" s="125">
        <v>150</v>
      </c>
      <c r="AD19" s="94" cm="1">
        <f t="array" aca="1" ref="AD19" ca="1">IF(AC$3="None",0,(INDIRECT("TABLE_WTL[@[" &amp; AD$4 &amp; "]]")))</f>
        <v>150</v>
      </c>
      <c r="AE19" s="104">
        <f t="shared" si="9"/>
        <v>50</v>
      </c>
      <c r="AF19" s="125">
        <v>50</v>
      </c>
      <c r="AG19" s="94" cm="1">
        <f t="array" aca="1" ref="AG19" ca="1">IF(AF$3="None",0,(INDIRECT("TABLE_WTL[@[" &amp; AG$4 &amp; "]]")))</f>
        <v>50</v>
      </c>
      <c r="AH19" s="104">
        <f t="shared" si="10"/>
        <v>0</v>
      </c>
      <c r="AI19" s="125">
        <v>0</v>
      </c>
      <c r="AJ19" s="94" cm="1">
        <f t="array" aca="1" ref="AJ19" ca="1">IF(AI$3="None",0,(INDIRECT("TABLE_WTL[@[" &amp; AJ$4 &amp; "]]")))</f>
        <v>0</v>
      </c>
      <c r="AK19" s="104">
        <f t="shared" si="11"/>
        <v>0</v>
      </c>
      <c r="AL19" s="125">
        <v>0</v>
      </c>
      <c r="AM19" s="94" cm="1">
        <f t="array" aca="1" ref="AM19" ca="1">IF(AL$3="None",0,(INDIRECT("TABLE_WTL[@[" &amp; AM$4 &amp; "]]")))</f>
        <v>0</v>
      </c>
      <c r="AN19" s="104">
        <f t="shared" si="12"/>
        <v>0</v>
      </c>
      <c r="AO19" s="125">
        <v>0</v>
      </c>
      <c r="AP19" s="94" cm="1">
        <f t="array" aca="1" ref="AP19" ca="1">IF(AO$3="None",0,(INDIRECT("TABLE_WTL[@[" &amp; AP$4 &amp; "]]")))</f>
        <v>0</v>
      </c>
      <c r="AQ19" s="105"/>
      <c r="AR19" s="128"/>
      <c r="AS19" s="132" t="s">
        <v>99</v>
      </c>
      <c r="AT19" s="132" t="s">
        <v>99</v>
      </c>
      <c r="AU19" s="132" t="s">
        <v>99</v>
      </c>
      <c r="AV19" s="132" t="s">
        <v>99</v>
      </c>
      <c r="AW19" s="132" t="s">
        <v>99</v>
      </c>
      <c r="AX19" s="133"/>
      <c r="AY19" s="105"/>
      <c r="AZ19" s="148" t="s">
        <v>25</v>
      </c>
      <c r="BA19" s="63"/>
      <c r="BB19" s="141"/>
      <c r="BC19" s="142"/>
      <c r="BD19" s="142"/>
      <c r="BE19" s="142"/>
      <c r="BF19" s="142"/>
      <c r="BG19" s="142"/>
      <c r="BH19" s="142"/>
      <c r="BI19" s="143"/>
      <c r="BJ19" s="63"/>
      <c r="BK19" s="96">
        <f>N19/ATP_Conditions!$C$8</f>
        <v>8.8571428571428577</v>
      </c>
    </row>
    <row r="20" spans="1:63" ht="15" thickBot="1" x14ac:dyDescent="0.4">
      <c r="A20" s="31">
        <f t="shared" si="13"/>
        <v>16</v>
      </c>
      <c r="B20" s="97">
        <f t="shared" si="0"/>
        <v>16</v>
      </c>
      <c r="C20" s="98">
        <f t="shared" si="14"/>
        <v>46125</v>
      </c>
      <c r="D20" s="99" t="str">
        <f t="shared" si="1"/>
        <v>16-2026</v>
      </c>
      <c r="E20" s="100" t="str">
        <f>_xlfn.IFNA(VLOOKUP(D20,Race_Calendar!D:F,2,FALSE),"-")</f>
        <v>-</v>
      </c>
      <c r="F20" s="97" t="str">
        <f>_xlfn.IFNA(VLOOKUP($D20,Race_Calendar!$D:$F,3,FALSE),"-")</f>
        <v>-</v>
      </c>
      <c r="G20" s="245" t="str">
        <f>_xlfn.IFNA(VLOOKUP(D20,Race_Calendar!D:H,4,FALSE),"-")</f>
        <v>-</v>
      </c>
      <c r="H20" s="101"/>
      <c r="I20" s="121" t="s">
        <v>74</v>
      </c>
      <c r="J20" s="124" t="s">
        <v>102</v>
      </c>
      <c r="K20" s="123" t="str">
        <f t="shared" si="15"/>
        <v>Build 2-4</v>
      </c>
      <c r="L20" s="102"/>
      <c r="M20" s="99"/>
      <c r="N20" s="103">
        <f>VLOOKUP(K20,ATP_Conditions!M:N,2,FALSE)</f>
        <v>360</v>
      </c>
      <c r="O20" s="31">
        <f>SUM(T20,W20,Z20,AC20,AF20,AI20,AL20,AO20)+ATP_Conditions!$C$7</f>
        <v>400</v>
      </c>
      <c r="P20" s="32">
        <f t="shared" ca="1" si="2"/>
        <v>430</v>
      </c>
      <c r="Q20" s="91">
        <f t="shared" si="3"/>
        <v>40</v>
      </c>
      <c r="R20" s="92">
        <f t="shared" ca="1" si="4"/>
        <v>70</v>
      </c>
      <c r="S20" s="104">
        <f t="shared" si="5"/>
        <v>120</v>
      </c>
      <c r="T20" s="125">
        <v>120</v>
      </c>
      <c r="U20" s="94" cm="1">
        <f t="array" aca="1" ref="U20" ca="1">IF(T$3="None",0,(INDIRECT("TABLE_WTL[@[" &amp; U$4 &amp; "]]")))</f>
        <v>131</v>
      </c>
      <c r="V20" s="104">
        <f t="shared" si="6"/>
        <v>0</v>
      </c>
      <c r="W20" s="125">
        <v>0</v>
      </c>
      <c r="X20" s="94" cm="1">
        <f t="array" aca="1" ref="X20" ca="1">IF(W$3="None",0,(INDIRECT("TABLE_WTL[@[" &amp; X$4 &amp; "]]")))</f>
        <v>0</v>
      </c>
      <c r="Y20" s="104">
        <f t="shared" si="7"/>
        <v>100</v>
      </c>
      <c r="Z20" s="125">
        <v>100</v>
      </c>
      <c r="AA20" s="94" cm="1">
        <f t="array" aca="1" ref="AA20" ca="1">IF(Z$3="None",0,(INDIRECT("TABLE_WTL[@[" &amp; AA$4 &amp; "]]")))</f>
        <v>118</v>
      </c>
      <c r="AB20" s="104">
        <f t="shared" si="8"/>
        <v>150</v>
      </c>
      <c r="AC20" s="125">
        <v>150</v>
      </c>
      <c r="AD20" s="94" cm="1">
        <f t="array" aca="1" ref="AD20" ca="1">IF(AC$3="None",0,(INDIRECT("TABLE_WTL[@[" &amp; AD$4 &amp; "]]")))</f>
        <v>150</v>
      </c>
      <c r="AE20" s="104">
        <f t="shared" si="9"/>
        <v>30</v>
      </c>
      <c r="AF20" s="125">
        <v>30</v>
      </c>
      <c r="AG20" s="94" cm="1">
        <f t="array" aca="1" ref="AG20" ca="1">IF(AF$3="None",0,(INDIRECT("TABLE_WTL[@[" &amp; AG$4 &amp; "]]")))</f>
        <v>31</v>
      </c>
      <c r="AH20" s="104">
        <f t="shared" si="10"/>
        <v>0</v>
      </c>
      <c r="AI20" s="125">
        <v>0</v>
      </c>
      <c r="AJ20" s="94" cm="1">
        <f t="array" aca="1" ref="AJ20" ca="1">IF(AI$3="None",0,(INDIRECT("TABLE_WTL[@[" &amp; AJ$4 &amp; "]]")))</f>
        <v>0</v>
      </c>
      <c r="AK20" s="104">
        <f t="shared" si="11"/>
        <v>0</v>
      </c>
      <c r="AL20" s="125">
        <v>0</v>
      </c>
      <c r="AM20" s="94" cm="1">
        <f t="array" aca="1" ref="AM20" ca="1">IF(AL$3="None",0,(INDIRECT("TABLE_WTL[@[" &amp; AM$4 &amp; "]]")))</f>
        <v>0</v>
      </c>
      <c r="AN20" s="104">
        <f t="shared" si="12"/>
        <v>0</v>
      </c>
      <c r="AO20" s="125">
        <v>0</v>
      </c>
      <c r="AP20" s="94" cm="1">
        <f t="array" aca="1" ref="AP20" ca="1">IF(AO$3="None",0,(INDIRECT("TABLE_WTL[@[" &amp; AP$4 &amp; "]]")))</f>
        <v>0</v>
      </c>
      <c r="AQ20" s="105"/>
      <c r="AR20" s="128"/>
      <c r="AS20" s="132" t="s">
        <v>99</v>
      </c>
      <c r="AT20" s="132"/>
      <c r="AU20" s="132" t="s">
        <v>99</v>
      </c>
      <c r="AV20" s="132"/>
      <c r="AW20" s="132"/>
      <c r="AX20" s="133"/>
      <c r="AY20" s="105"/>
      <c r="AZ20" s="149"/>
      <c r="BA20" s="63"/>
      <c r="BB20" s="141"/>
      <c r="BC20" s="142"/>
      <c r="BD20" s="142"/>
      <c r="BE20" s="142"/>
      <c r="BF20" s="142"/>
      <c r="BG20" s="142"/>
      <c r="BH20" s="142"/>
      <c r="BI20" s="143"/>
      <c r="BJ20" s="63"/>
      <c r="BK20" s="96">
        <f>N20/ATP_Conditions!$C$8</f>
        <v>5.1428571428571432</v>
      </c>
    </row>
    <row r="21" spans="1:63" ht="15" thickBot="1" x14ac:dyDescent="0.4">
      <c r="A21" s="31">
        <f t="shared" si="13"/>
        <v>17</v>
      </c>
      <c r="B21" s="97">
        <f t="shared" si="0"/>
        <v>17</v>
      </c>
      <c r="C21" s="98">
        <f t="shared" si="14"/>
        <v>46132</v>
      </c>
      <c r="D21" s="99" t="str">
        <f t="shared" si="1"/>
        <v>17-2026</v>
      </c>
      <c r="E21" s="100" t="str">
        <f>_xlfn.IFNA(VLOOKUP(D21,Race_Calendar!D:F,2,FALSE),"-")</f>
        <v>-</v>
      </c>
      <c r="F21" s="97" t="str">
        <f>_xlfn.IFNA(VLOOKUP($D21,Race_Calendar!$D:$F,3,FALSE),"-")</f>
        <v>-</v>
      </c>
      <c r="G21" s="245" t="str">
        <f>_xlfn.IFNA(VLOOKUP(D21,Race_Calendar!D:H,4,FALSE),"-")</f>
        <v>-</v>
      </c>
      <c r="H21" s="101"/>
      <c r="I21" s="121" t="s">
        <v>4</v>
      </c>
      <c r="J21" s="124">
        <v>1</v>
      </c>
      <c r="K21" s="123" t="str">
        <f t="shared" si="15"/>
        <v>Peak-1</v>
      </c>
      <c r="L21" s="102"/>
      <c r="M21" s="99"/>
      <c r="N21" s="103">
        <f>VLOOKUP(K21,ATP_Conditions!M:N,2,FALSE)</f>
        <v>440</v>
      </c>
      <c r="O21" s="31">
        <f>SUM(T21,W21,Z21,AC21,AF21,AI21,AL21,AO21)+ATP_Conditions!$C$7</f>
        <v>480</v>
      </c>
      <c r="P21" s="32">
        <f t="shared" ca="1" si="2"/>
        <v>502</v>
      </c>
      <c r="Q21" s="91">
        <f t="shared" si="3"/>
        <v>40</v>
      </c>
      <c r="R21" s="92">
        <f ca="1">P21-$N21</f>
        <v>62</v>
      </c>
      <c r="S21" s="104">
        <f t="shared" si="5"/>
        <v>150</v>
      </c>
      <c r="T21" s="125">
        <v>150</v>
      </c>
      <c r="U21" s="94" cm="1">
        <f t="array" aca="1" ref="U21" ca="1">IF(T$3="None",0,(INDIRECT("TABLE_WTL[@[" &amp; U$4 &amp; "]]")))</f>
        <v>165</v>
      </c>
      <c r="V21" s="104">
        <f t="shared" si="6"/>
        <v>0</v>
      </c>
      <c r="W21" s="125">
        <v>0</v>
      </c>
      <c r="X21" s="94" cm="1">
        <f t="array" aca="1" ref="X21" ca="1">IF(W$3="None",0,(INDIRECT("TABLE_WTL[@[" &amp; X$4 &amp; "]]")))</f>
        <v>0</v>
      </c>
      <c r="Y21" s="104">
        <f t="shared" si="7"/>
        <v>150</v>
      </c>
      <c r="Z21" s="125">
        <v>150</v>
      </c>
      <c r="AA21" s="94" cm="1">
        <f t="array" aca="1" ref="AA21" ca="1">IF(Z$3="None",0,(INDIRECT("TABLE_WTL[@[" &amp; AA$4 &amp; "]]")))</f>
        <v>156</v>
      </c>
      <c r="AB21" s="104">
        <f t="shared" si="8"/>
        <v>150</v>
      </c>
      <c r="AC21" s="125">
        <v>150</v>
      </c>
      <c r="AD21" s="94" cm="1">
        <f t="array" aca="1" ref="AD21" ca="1">IF(AC$3="None",0,(INDIRECT("TABLE_WTL[@[" &amp; AD$4 &amp; "]]")))</f>
        <v>150</v>
      </c>
      <c r="AE21" s="104">
        <f t="shared" si="9"/>
        <v>30</v>
      </c>
      <c r="AF21" s="125">
        <v>30</v>
      </c>
      <c r="AG21" s="94" cm="1">
        <f t="array" aca="1" ref="AG21" ca="1">IF(AF$3="None",0,(INDIRECT("TABLE_WTL[@[" &amp; AG$4 &amp; "]]")))</f>
        <v>31</v>
      </c>
      <c r="AH21" s="104">
        <f t="shared" si="10"/>
        <v>0</v>
      </c>
      <c r="AI21" s="125">
        <v>0</v>
      </c>
      <c r="AJ21" s="94" cm="1">
        <f t="array" aca="1" ref="AJ21" ca="1">IF(AI$3="None",0,(INDIRECT("TABLE_WTL[@[" &amp; AJ$4 &amp; "]]")))</f>
        <v>0</v>
      </c>
      <c r="AK21" s="104">
        <f t="shared" si="11"/>
        <v>0</v>
      </c>
      <c r="AL21" s="125">
        <v>0</v>
      </c>
      <c r="AM21" s="94" cm="1">
        <f t="array" aca="1" ref="AM21" ca="1">IF(AL$3="None",0,(INDIRECT("TABLE_WTL[@[" &amp; AM$4 &amp; "]]")))</f>
        <v>0</v>
      </c>
      <c r="AN21" s="104">
        <f t="shared" si="12"/>
        <v>0</v>
      </c>
      <c r="AO21" s="125">
        <v>0</v>
      </c>
      <c r="AP21" s="94" cm="1">
        <f t="array" aca="1" ref="AP21" ca="1">IF(AO$3="None",0,(INDIRECT("TABLE_WTL[@[" &amp; AP$4 &amp; "]]")))</f>
        <v>0</v>
      </c>
      <c r="AQ21" s="105"/>
      <c r="AR21" s="128"/>
      <c r="AS21" s="132" t="s">
        <v>99</v>
      </c>
      <c r="AT21" s="132"/>
      <c r="AU21" s="132"/>
      <c r="AV21" s="132"/>
      <c r="AW21" s="132"/>
      <c r="AX21" s="133"/>
      <c r="AY21" s="105"/>
      <c r="AZ21" s="149"/>
      <c r="BA21" s="63"/>
      <c r="BB21" s="141"/>
      <c r="BC21" s="142"/>
      <c r="BD21" s="142"/>
      <c r="BE21" s="142"/>
      <c r="BF21" s="142"/>
      <c r="BG21" s="142"/>
      <c r="BH21" s="142"/>
      <c r="BI21" s="143"/>
      <c r="BJ21" s="63"/>
      <c r="BK21" s="96">
        <f>N21/ATP_Conditions!$C$8</f>
        <v>6.2857142857142856</v>
      </c>
    </row>
    <row r="22" spans="1:63" ht="15" thickBot="1" x14ac:dyDescent="0.4">
      <c r="A22" s="31">
        <f t="shared" si="13"/>
        <v>18</v>
      </c>
      <c r="B22" s="97">
        <f t="shared" si="0"/>
        <v>18</v>
      </c>
      <c r="C22" s="98">
        <f t="shared" si="14"/>
        <v>46139</v>
      </c>
      <c r="D22" s="99" t="str">
        <f t="shared" si="1"/>
        <v>18-2026</v>
      </c>
      <c r="E22" s="100" t="str">
        <f>_xlfn.IFNA(VLOOKUP(D22,Race_Calendar!D:F,2,FALSE),"-")</f>
        <v>-</v>
      </c>
      <c r="F22" s="97" t="str">
        <f>_xlfn.IFNA(VLOOKUP($D22,Race_Calendar!$D:$F,3,FALSE),"-")</f>
        <v>-</v>
      </c>
      <c r="G22" s="245" t="str">
        <f>_xlfn.IFNA(VLOOKUP(D22,Race_Calendar!D:H,4,FALSE),"-")</f>
        <v>-</v>
      </c>
      <c r="H22" s="101"/>
      <c r="I22" s="121" t="s">
        <v>1</v>
      </c>
      <c r="J22" s="124"/>
      <c r="K22" s="123" t="str">
        <f t="shared" si="15"/>
        <v>Race</v>
      </c>
      <c r="L22" s="102"/>
      <c r="M22" s="99"/>
      <c r="N22" s="103">
        <f>VLOOKUP(K22,ATP_Conditions!M:N,2,FALSE)</f>
        <v>360</v>
      </c>
      <c r="O22" s="31">
        <f>SUM(T22,W22,Z22,AC22,AF22,AI22,AL22,AO22)+ATP_Conditions!$C$7</f>
        <v>400</v>
      </c>
      <c r="P22" s="32">
        <f t="shared" ca="1" si="2"/>
        <v>398</v>
      </c>
      <c r="Q22" s="91">
        <f t="shared" si="3"/>
        <v>40</v>
      </c>
      <c r="R22" s="92">
        <f t="shared" ca="1" si="4"/>
        <v>38</v>
      </c>
      <c r="S22" s="104">
        <f t="shared" si="5"/>
        <v>100</v>
      </c>
      <c r="T22" s="125">
        <v>100</v>
      </c>
      <c r="U22" s="94" cm="1">
        <f t="array" aca="1" ref="U22" ca="1">IF(T$3="None",0,(INDIRECT("TABLE_WTL[@[" &amp; U$4 &amp; "]]")))</f>
        <v>96</v>
      </c>
      <c r="V22" s="104">
        <f t="shared" si="6"/>
        <v>0</v>
      </c>
      <c r="W22" s="125">
        <v>0</v>
      </c>
      <c r="X22" s="94" cm="1">
        <f t="array" aca="1" ref="X22" ca="1">IF(W$3="None",0,(INDIRECT("TABLE_WTL[@[" &amp; X$4 &amp; "]]")))</f>
        <v>0</v>
      </c>
      <c r="Y22" s="104">
        <f t="shared" si="7"/>
        <v>150</v>
      </c>
      <c r="Z22" s="125">
        <v>150</v>
      </c>
      <c r="AA22" s="94" cm="1">
        <f t="array" aca="1" ref="AA22" ca="1">IF(Z$3="None",0,(INDIRECT("TABLE_WTL[@[" &amp; AA$4 &amp; "]]")))</f>
        <v>152</v>
      </c>
      <c r="AB22" s="104">
        <f t="shared" si="8"/>
        <v>150</v>
      </c>
      <c r="AC22" s="125">
        <v>150</v>
      </c>
      <c r="AD22" s="94" cm="1">
        <f t="array" aca="1" ref="AD22" ca="1">IF(AC$3="None",0,(INDIRECT("TABLE_WTL[@[" &amp; AD$4 &amp; "]]")))</f>
        <v>150</v>
      </c>
      <c r="AE22" s="104">
        <f t="shared" si="9"/>
        <v>0</v>
      </c>
      <c r="AF22" s="125">
        <v>0</v>
      </c>
      <c r="AG22" s="94" cm="1">
        <f t="array" aca="1" ref="AG22" ca="1">IF(AF$3="None",0,(INDIRECT("TABLE_WTL[@[" &amp; AG$4 &amp; "]]")))</f>
        <v>0</v>
      </c>
      <c r="AH22" s="104">
        <f t="shared" si="10"/>
        <v>0</v>
      </c>
      <c r="AI22" s="125">
        <v>0</v>
      </c>
      <c r="AJ22" s="94" cm="1">
        <f t="array" aca="1" ref="AJ22" ca="1">IF(AI$3="None",0,(INDIRECT("TABLE_WTL[@[" &amp; AJ$4 &amp; "]]")))</f>
        <v>0</v>
      </c>
      <c r="AK22" s="104">
        <f t="shared" si="11"/>
        <v>0</v>
      </c>
      <c r="AL22" s="125">
        <v>0</v>
      </c>
      <c r="AM22" s="94" cm="1">
        <f t="array" aca="1" ref="AM22" ca="1">IF(AL$3="None",0,(INDIRECT("TABLE_WTL[@[" &amp; AM$4 &amp; "]]")))</f>
        <v>0</v>
      </c>
      <c r="AN22" s="104">
        <f t="shared" si="12"/>
        <v>0</v>
      </c>
      <c r="AO22" s="125">
        <v>0</v>
      </c>
      <c r="AP22" s="94" cm="1">
        <f t="array" aca="1" ref="AP22" ca="1">IF(AO$3="None",0,(INDIRECT("TABLE_WTL[@[" &amp; AP$4 &amp; "]]")))</f>
        <v>0</v>
      </c>
      <c r="AQ22" s="105"/>
      <c r="AR22" s="128"/>
      <c r="AS22" s="132"/>
      <c r="AT22" s="132"/>
      <c r="AU22" s="132"/>
      <c r="AV22" s="132"/>
      <c r="AW22" s="132"/>
      <c r="AX22" s="133"/>
      <c r="AY22" s="105"/>
      <c r="AZ22" s="148"/>
      <c r="BA22" s="63"/>
      <c r="BB22" s="141"/>
      <c r="BC22" s="142"/>
      <c r="BD22" s="142"/>
      <c r="BE22" s="142"/>
      <c r="BF22" s="142"/>
      <c r="BG22" s="142"/>
      <c r="BH22" s="142"/>
      <c r="BI22" s="143"/>
      <c r="BJ22" s="63"/>
      <c r="BK22" s="96">
        <f>N22/ATP_Conditions!$C$8</f>
        <v>5.1428571428571432</v>
      </c>
    </row>
    <row r="23" spans="1:63" ht="15" thickBot="1" x14ac:dyDescent="0.4">
      <c r="A23" s="31">
        <f t="shared" si="13"/>
        <v>19</v>
      </c>
      <c r="B23" s="97">
        <f t="shared" si="0"/>
        <v>19</v>
      </c>
      <c r="C23" s="98">
        <f t="shared" si="14"/>
        <v>46146</v>
      </c>
      <c r="D23" s="99" t="str">
        <f t="shared" si="1"/>
        <v>19-2026</v>
      </c>
      <c r="E23" s="100" t="str">
        <f>_xlfn.IFNA(VLOOKUP(D23,Race_Calendar!D:F,2,FALSE),"-")</f>
        <v>Go Triatlon Brouwersdam</v>
      </c>
      <c r="F23" s="97" t="str">
        <f>_xlfn.IFNA(VLOOKUP($D23,Race_Calendar!$D:$F,3,FALSE),"-")</f>
        <v>A</v>
      </c>
      <c r="G23" s="245">
        <f>_xlfn.IFNA(VLOOKUP(D23,Race_Calendar!D:H,4,FALSE),"-")</f>
        <v>46151</v>
      </c>
      <c r="H23" s="101"/>
      <c r="I23" s="121" t="s">
        <v>77</v>
      </c>
      <c r="J23" s="124"/>
      <c r="K23" s="123" t="str">
        <f t="shared" si="15"/>
        <v>Trans</v>
      </c>
      <c r="L23" s="102"/>
      <c r="M23" s="99"/>
      <c r="N23" s="103">
        <f>VLOOKUP(K23,ATP_Conditions!M:N,2,FALSE)</f>
        <v>230</v>
      </c>
      <c r="O23" s="31">
        <f>SUM(T23,W23,Z23,AC23,AF23,AI23,AL23,AO23)+ATP_Conditions!$C$7</f>
        <v>50</v>
      </c>
      <c r="P23" s="32">
        <f t="shared" ca="1" si="2"/>
        <v>285</v>
      </c>
      <c r="Q23" s="91">
        <f t="shared" si="3"/>
        <v>-180</v>
      </c>
      <c r="R23" s="92">
        <f t="shared" ca="1" si="4"/>
        <v>55</v>
      </c>
      <c r="S23" s="104">
        <f t="shared" si="5"/>
        <v>50</v>
      </c>
      <c r="T23" s="125">
        <v>50</v>
      </c>
      <c r="U23" s="94" cm="1">
        <f t="array" aca="1" ref="U23" ca="1">IF(T$3="None",0,(INDIRECT("TABLE_WTL[@[" &amp; U$4 &amp; "]]")))</f>
        <v>35</v>
      </c>
      <c r="V23" s="104">
        <f t="shared" si="6"/>
        <v>0</v>
      </c>
      <c r="W23" s="125">
        <v>0</v>
      </c>
      <c r="X23" s="94" cm="1">
        <f t="array" aca="1" ref="X23" ca="1">IF(W$3="None",0,(INDIRECT("TABLE_WTL[@[" &amp; X$4 &amp; "]]")))</f>
        <v>0</v>
      </c>
      <c r="Y23" s="104">
        <f t="shared" si="7"/>
        <v>0</v>
      </c>
      <c r="Z23" s="125">
        <v>0</v>
      </c>
      <c r="AA23" s="94" cm="1">
        <f t="array" aca="1" ref="AA23" ca="1">IF(Z$3="None",0,(INDIRECT("TABLE_WTL[@[" &amp; AA$4 &amp; "]]")))</f>
        <v>100</v>
      </c>
      <c r="AB23" s="104">
        <f t="shared" si="8"/>
        <v>0</v>
      </c>
      <c r="AC23" s="125">
        <v>0</v>
      </c>
      <c r="AD23" s="94" cm="1">
        <f t="array" aca="1" ref="AD23" ca="1">IF(AC$3="None",0,(INDIRECT("TABLE_WTL[@[" &amp; AD$4 &amp; "]]")))</f>
        <v>150</v>
      </c>
      <c r="AE23" s="104">
        <f t="shared" si="9"/>
        <v>0</v>
      </c>
      <c r="AF23" s="125">
        <v>0</v>
      </c>
      <c r="AG23" s="94" cm="1">
        <f t="array" aca="1" ref="AG23" ca="1">IF(AF$3="None",0,(INDIRECT("TABLE_WTL[@[" &amp; AG$4 &amp; "]]")))</f>
        <v>0</v>
      </c>
      <c r="AH23" s="104">
        <f t="shared" si="10"/>
        <v>0</v>
      </c>
      <c r="AI23" s="125">
        <v>0</v>
      </c>
      <c r="AJ23" s="94" cm="1">
        <f t="array" aca="1" ref="AJ23" ca="1">IF(AI$3="None",0,(INDIRECT("TABLE_WTL[@[" &amp; AJ$4 &amp; "]]")))</f>
        <v>0</v>
      </c>
      <c r="AK23" s="104">
        <f t="shared" si="11"/>
        <v>0</v>
      </c>
      <c r="AL23" s="125">
        <v>0</v>
      </c>
      <c r="AM23" s="94" cm="1">
        <f t="array" aca="1" ref="AM23" ca="1">IF(AL$3="None",0,(INDIRECT("TABLE_WTL[@[" &amp; AM$4 &amp; "]]")))</f>
        <v>0</v>
      </c>
      <c r="AN23" s="104">
        <f t="shared" si="12"/>
        <v>0</v>
      </c>
      <c r="AO23" s="125">
        <v>0</v>
      </c>
      <c r="AP23" s="94" cm="1">
        <f t="array" aca="1" ref="AP23" ca="1">IF(AO$3="None",0,(INDIRECT("TABLE_WTL[@[" &amp; AP$4 &amp; "]]")))</f>
        <v>0</v>
      </c>
      <c r="AQ23" s="105"/>
      <c r="AR23" s="128"/>
      <c r="AS23" s="132"/>
      <c r="AT23" s="132"/>
      <c r="AU23" s="134"/>
      <c r="AV23" s="132"/>
      <c r="AW23" s="132"/>
      <c r="AX23" s="133"/>
      <c r="AY23" s="105"/>
      <c r="AZ23" s="148"/>
      <c r="BA23" s="63"/>
      <c r="BB23" s="141"/>
      <c r="BC23" s="142"/>
      <c r="BD23" s="142"/>
      <c r="BE23" s="142"/>
      <c r="BF23" s="142"/>
      <c r="BG23" s="142"/>
      <c r="BH23" s="142"/>
      <c r="BI23" s="143"/>
      <c r="BJ23" s="63"/>
      <c r="BK23" s="96">
        <f>N23/ATP_Conditions!$C$8</f>
        <v>3.2857142857142856</v>
      </c>
    </row>
    <row r="24" spans="1:63" ht="15" thickBot="1" x14ac:dyDescent="0.4">
      <c r="A24" s="31">
        <f t="shared" si="13"/>
        <v>20</v>
      </c>
      <c r="B24" s="97">
        <f t="shared" si="0"/>
        <v>20</v>
      </c>
      <c r="C24" s="98">
        <f t="shared" si="14"/>
        <v>46153</v>
      </c>
      <c r="D24" s="99" t="str">
        <f t="shared" si="1"/>
        <v>20-2026</v>
      </c>
      <c r="E24" s="100" t="str">
        <f>_xlfn.IFNA(VLOOKUP(D24,Race_Calendar!D:F,2,FALSE),"-")</f>
        <v>-</v>
      </c>
      <c r="F24" s="97" t="str">
        <f>_xlfn.IFNA(VLOOKUP($D24,Race_Calendar!$D:$F,3,FALSE),"-")</f>
        <v>-</v>
      </c>
      <c r="G24" s="245" t="str">
        <f>_xlfn.IFNA(VLOOKUP(D24,Race_Calendar!D:H,4,FALSE),"-")</f>
        <v>-</v>
      </c>
      <c r="H24" s="101"/>
      <c r="I24" s="121" t="s">
        <v>77</v>
      </c>
      <c r="J24" s="124"/>
      <c r="K24" s="123" t="str">
        <f t="shared" si="15"/>
        <v>Trans</v>
      </c>
      <c r="L24" s="102"/>
      <c r="M24" s="99"/>
      <c r="N24" s="103">
        <f>VLOOKUP(K24,ATP_Conditions!M:N,2,FALSE)</f>
        <v>230</v>
      </c>
      <c r="O24" s="31">
        <f>SUM(T24,W24,Z24,AC24,AF24,AI24,AL24,AO24)+ATP_Conditions!$C$7</f>
        <v>50</v>
      </c>
      <c r="P24" s="32">
        <f t="shared" ca="1" si="2"/>
        <v>285</v>
      </c>
      <c r="Q24" s="91">
        <f t="shared" si="3"/>
        <v>-180</v>
      </c>
      <c r="R24" s="92">
        <f t="shared" ca="1" si="4"/>
        <v>55</v>
      </c>
      <c r="S24" s="104">
        <f t="shared" si="5"/>
        <v>50</v>
      </c>
      <c r="T24" s="125">
        <v>50</v>
      </c>
      <c r="U24" s="94" cm="1">
        <f t="array" aca="1" ref="U24" ca="1">IF(T$3="None",0,(INDIRECT("TABLE_WTL[@[" &amp; U$4 &amp; "]]")))</f>
        <v>35</v>
      </c>
      <c r="V24" s="104">
        <f t="shared" si="6"/>
        <v>0</v>
      </c>
      <c r="W24" s="125">
        <v>0</v>
      </c>
      <c r="X24" s="94" cm="1">
        <f t="array" aca="1" ref="X24" ca="1">IF(W$3="None",0,(INDIRECT("TABLE_WTL[@[" &amp; X$4 &amp; "]]")))</f>
        <v>0</v>
      </c>
      <c r="Y24" s="104">
        <f t="shared" si="7"/>
        <v>0</v>
      </c>
      <c r="Z24" s="125">
        <v>0</v>
      </c>
      <c r="AA24" s="94" cm="1">
        <f t="array" aca="1" ref="AA24" ca="1">IF(Z$3="None",0,(INDIRECT("TABLE_WTL[@[" &amp; AA$4 &amp; "]]")))</f>
        <v>100</v>
      </c>
      <c r="AB24" s="104">
        <f t="shared" si="8"/>
        <v>0</v>
      </c>
      <c r="AC24" s="125">
        <v>0</v>
      </c>
      <c r="AD24" s="94" cm="1">
        <f t="array" aca="1" ref="AD24" ca="1">IF(AC$3="None",0,(INDIRECT("TABLE_WTL[@[" &amp; AD$4 &amp; "]]")))</f>
        <v>150</v>
      </c>
      <c r="AE24" s="104">
        <f t="shared" si="9"/>
        <v>0</v>
      </c>
      <c r="AF24" s="125">
        <v>0</v>
      </c>
      <c r="AG24" s="94" cm="1">
        <f t="array" aca="1" ref="AG24" ca="1">IF(AF$3="None",0,(INDIRECT("TABLE_WTL[@[" &amp; AG$4 &amp; "]]")))</f>
        <v>0</v>
      </c>
      <c r="AH24" s="104">
        <f t="shared" si="10"/>
        <v>0</v>
      </c>
      <c r="AI24" s="125">
        <v>0</v>
      </c>
      <c r="AJ24" s="94" cm="1">
        <f t="array" aca="1" ref="AJ24" ca="1">IF(AI$3="None",0,(INDIRECT("TABLE_WTL[@[" &amp; AJ$4 &amp; "]]")))</f>
        <v>0</v>
      </c>
      <c r="AK24" s="104">
        <f t="shared" si="11"/>
        <v>0</v>
      </c>
      <c r="AL24" s="125">
        <v>0</v>
      </c>
      <c r="AM24" s="94" cm="1">
        <f t="array" aca="1" ref="AM24" ca="1">IF(AL$3="None",0,(INDIRECT("TABLE_WTL[@[" &amp; AM$4 &amp; "]]")))</f>
        <v>0</v>
      </c>
      <c r="AN24" s="104">
        <f t="shared" si="12"/>
        <v>0</v>
      </c>
      <c r="AO24" s="125">
        <v>0</v>
      </c>
      <c r="AP24" s="94" cm="1">
        <f t="array" aca="1" ref="AP24" ca="1">IF(AO$3="None",0,(INDIRECT("TABLE_WTL[@[" &amp; AP$4 &amp; "]]")))</f>
        <v>0</v>
      </c>
      <c r="AQ24" s="105"/>
      <c r="AR24" s="128"/>
      <c r="AS24" s="132"/>
      <c r="AT24" s="132"/>
      <c r="AU24" s="132"/>
      <c r="AV24" s="132"/>
      <c r="AW24" s="132"/>
      <c r="AX24" s="133"/>
      <c r="AY24" s="105"/>
      <c r="AZ24" s="148"/>
      <c r="BA24" s="63"/>
      <c r="BB24" s="141"/>
      <c r="BC24" s="142"/>
      <c r="BD24" s="142"/>
      <c r="BE24" s="142"/>
      <c r="BF24" s="142"/>
      <c r="BG24" s="142"/>
      <c r="BH24" s="142"/>
      <c r="BI24" s="143"/>
      <c r="BJ24" s="63"/>
      <c r="BK24" s="96">
        <f>N24/ATP_Conditions!$C$8</f>
        <v>3.2857142857142856</v>
      </c>
    </row>
    <row r="25" spans="1:63" ht="15" thickBot="1" x14ac:dyDescent="0.4">
      <c r="A25" s="31">
        <f t="shared" si="13"/>
        <v>21</v>
      </c>
      <c r="B25" s="97">
        <f t="shared" si="0"/>
        <v>21</v>
      </c>
      <c r="C25" s="98">
        <f t="shared" si="14"/>
        <v>46160</v>
      </c>
      <c r="D25" s="99" t="str">
        <f t="shared" si="1"/>
        <v>21-2026</v>
      </c>
      <c r="E25" s="100" t="str">
        <f>_xlfn.IFNA(VLOOKUP(D25,Race_Calendar!D:F,2,FALSE),"-")</f>
        <v>-</v>
      </c>
      <c r="F25" s="97" t="str">
        <f>_xlfn.IFNA(VLOOKUP($D25,Race_Calendar!$D:$F,3,FALSE),"-")</f>
        <v>-</v>
      </c>
      <c r="G25" s="245" t="str">
        <f>_xlfn.IFNA(VLOOKUP(D25,Race_Calendar!D:H,4,FALSE),"-")</f>
        <v>-</v>
      </c>
      <c r="H25" s="101"/>
      <c r="I25" s="121" t="s">
        <v>73</v>
      </c>
      <c r="J25" s="124" t="s">
        <v>99</v>
      </c>
      <c r="K25" s="123" t="str">
        <f t="shared" si="15"/>
        <v>Build 1-1</v>
      </c>
      <c r="L25" s="102"/>
      <c r="M25" s="99"/>
      <c r="N25" s="103">
        <f>VLOOKUP(K25,ATP_Conditions!M:N,2,FALSE)</f>
        <v>560</v>
      </c>
      <c r="O25" s="31">
        <f>SUM(T25,W25,Z25,AC25,AF25,AI25,AL25,AO25)+ATP_Conditions!$C$7</f>
        <v>50</v>
      </c>
      <c r="P25" s="32">
        <f t="shared" ca="1" si="2"/>
        <v>285</v>
      </c>
      <c r="Q25" s="91">
        <f t="shared" si="3"/>
        <v>-510</v>
      </c>
      <c r="R25" s="92">
        <f t="shared" ca="1" si="4"/>
        <v>-275</v>
      </c>
      <c r="S25" s="104">
        <f t="shared" si="5"/>
        <v>50</v>
      </c>
      <c r="T25" s="125">
        <v>50</v>
      </c>
      <c r="U25" s="94" cm="1">
        <f t="array" aca="1" ref="U25" ca="1">IF(T$3="None",0,(INDIRECT("TABLE_WTL[@[" &amp; U$4 &amp; "]]")))</f>
        <v>35</v>
      </c>
      <c r="V25" s="104">
        <f t="shared" si="6"/>
        <v>0</v>
      </c>
      <c r="W25" s="125">
        <v>0</v>
      </c>
      <c r="X25" s="94" cm="1">
        <f t="array" aca="1" ref="X25" ca="1">IF(W$3="None",0,(INDIRECT("TABLE_WTL[@[" &amp; X$4 &amp; "]]")))</f>
        <v>0</v>
      </c>
      <c r="Y25" s="104">
        <f t="shared" si="7"/>
        <v>0</v>
      </c>
      <c r="Z25" s="125">
        <v>0</v>
      </c>
      <c r="AA25" s="94" cm="1">
        <f t="array" aca="1" ref="AA25" ca="1">IF(Z$3="None",0,(INDIRECT("TABLE_WTL[@[" &amp; AA$4 &amp; "]]")))</f>
        <v>100</v>
      </c>
      <c r="AB25" s="104">
        <f t="shared" si="8"/>
        <v>0</v>
      </c>
      <c r="AC25" s="125">
        <v>0</v>
      </c>
      <c r="AD25" s="94" cm="1">
        <f t="array" aca="1" ref="AD25" ca="1">IF(AC$3="None",0,(INDIRECT("TABLE_WTL[@[" &amp; AD$4 &amp; "]]")))</f>
        <v>150</v>
      </c>
      <c r="AE25" s="104">
        <f t="shared" si="9"/>
        <v>0</v>
      </c>
      <c r="AF25" s="125">
        <v>0</v>
      </c>
      <c r="AG25" s="94" cm="1">
        <f t="array" aca="1" ref="AG25" ca="1">IF(AF$3="None",0,(INDIRECT("TABLE_WTL[@[" &amp; AG$4 &amp; "]]")))</f>
        <v>0</v>
      </c>
      <c r="AH25" s="104">
        <f t="shared" si="10"/>
        <v>0</v>
      </c>
      <c r="AI25" s="125">
        <v>0</v>
      </c>
      <c r="AJ25" s="94" cm="1">
        <f t="array" aca="1" ref="AJ25" ca="1">IF(AI$3="None",0,(INDIRECT("TABLE_WTL[@[" &amp; AJ$4 &amp; "]]")))</f>
        <v>0</v>
      </c>
      <c r="AK25" s="104">
        <f t="shared" si="11"/>
        <v>0</v>
      </c>
      <c r="AL25" s="125">
        <v>0</v>
      </c>
      <c r="AM25" s="94" cm="1">
        <f t="array" aca="1" ref="AM25" ca="1">IF(AL$3="None",0,(INDIRECT("TABLE_WTL[@[" &amp; AM$4 &amp; "]]")))</f>
        <v>0</v>
      </c>
      <c r="AN25" s="104">
        <f t="shared" si="12"/>
        <v>0</v>
      </c>
      <c r="AO25" s="125">
        <v>0</v>
      </c>
      <c r="AP25" s="94" cm="1">
        <f t="array" aca="1" ref="AP25" ca="1">IF(AO$3="None",0,(INDIRECT("TABLE_WTL[@[" &amp; AP$4 &amp; "]]")))</f>
        <v>0</v>
      </c>
      <c r="AQ25" s="105"/>
      <c r="AR25" s="128"/>
      <c r="AS25" s="132"/>
      <c r="AT25" s="132"/>
      <c r="AU25" s="132"/>
      <c r="AV25" s="132"/>
      <c r="AW25" s="132"/>
      <c r="AX25" s="133"/>
      <c r="AY25" s="105"/>
      <c r="AZ25" s="148"/>
      <c r="BA25" s="63"/>
      <c r="BB25" s="141"/>
      <c r="BC25" s="142"/>
      <c r="BD25" s="142"/>
      <c r="BE25" s="142"/>
      <c r="BF25" s="142"/>
      <c r="BG25" s="142"/>
      <c r="BH25" s="142"/>
      <c r="BI25" s="143"/>
      <c r="BJ25" s="63"/>
      <c r="BK25" s="96">
        <f>N25/ATP_Conditions!$C$8</f>
        <v>8</v>
      </c>
    </row>
    <row r="26" spans="1:63" s="114" customFormat="1" ht="15" thickBot="1" x14ac:dyDescent="0.4">
      <c r="A26" s="31">
        <f t="shared" si="13"/>
        <v>22</v>
      </c>
      <c r="B26" s="106">
        <f t="shared" si="0"/>
        <v>22</v>
      </c>
      <c r="C26" s="98">
        <f t="shared" si="14"/>
        <v>46167</v>
      </c>
      <c r="D26" s="107" t="str">
        <f t="shared" si="1"/>
        <v>22-2026</v>
      </c>
      <c r="E26" s="108" t="str">
        <f>_xlfn.IFNA(VLOOKUP(D26,Race_Calendar!D:F,2,FALSE),"-")</f>
        <v>-</v>
      </c>
      <c r="F26" s="106" t="s">
        <v>2</v>
      </c>
      <c r="G26" s="246" t="str">
        <f>_xlfn.IFNA(VLOOKUP(D26,Race_Calendar!D:H,4,FALSE),"-")</f>
        <v>-</v>
      </c>
      <c r="H26" s="109"/>
      <c r="I26" s="121" t="s">
        <v>73</v>
      </c>
      <c r="J26" s="124" t="s">
        <v>100</v>
      </c>
      <c r="K26" s="123" t="str">
        <f t="shared" si="15"/>
        <v>Build 1-2</v>
      </c>
      <c r="L26" s="110"/>
      <c r="M26" s="107"/>
      <c r="N26" s="103">
        <f>VLOOKUP(K26,ATP_Conditions!M:N,2,FALSE)</f>
        <v>560</v>
      </c>
      <c r="O26" s="31">
        <f>SUM(T26,W26,Z26,AC26,AF26,AI26,AL26,AO26)+ATP_Conditions!$C$7</f>
        <v>50</v>
      </c>
      <c r="P26" s="32">
        <f t="shared" ca="1" si="2"/>
        <v>135</v>
      </c>
      <c r="Q26" s="91">
        <f t="shared" si="3"/>
        <v>-510</v>
      </c>
      <c r="R26" s="92">
        <f t="shared" ca="1" si="4"/>
        <v>-425</v>
      </c>
      <c r="S26" s="111">
        <f t="shared" si="5"/>
        <v>50</v>
      </c>
      <c r="T26" s="125">
        <v>50</v>
      </c>
      <c r="U26" s="94" cm="1">
        <f t="array" aca="1" ref="U26" ca="1">IF(T$3="None",0,(INDIRECT("TABLE_WTL[@[" &amp; U$4 &amp; "]]")))</f>
        <v>35</v>
      </c>
      <c r="V26" s="111">
        <f t="shared" si="6"/>
        <v>0</v>
      </c>
      <c r="W26" s="125">
        <v>0</v>
      </c>
      <c r="X26" s="94" cm="1">
        <f t="array" aca="1" ref="X26" ca="1">IF(W$3="None",0,(INDIRECT("TABLE_WTL[@[" &amp; X$4 &amp; "]]")))</f>
        <v>0</v>
      </c>
      <c r="Y26" s="111">
        <f t="shared" si="7"/>
        <v>0</v>
      </c>
      <c r="Z26" s="126">
        <v>0</v>
      </c>
      <c r="AA26" s="94" cm="1">
        <f t="array" aca="1" ref="AA26" ca="1">IF(Z$3="None",0,(INDIRECT("TABLE_WTL[@[" &amp; AA$4 &amp; "]]")))</f>
        <v>100</v>
      </c>
      <c r="AB26" s="111">
        <f t="shared" si="8"/>
        <v>0</v>
      </c>
      <c r="AC26" s="125">
        <v>0</v>
      </c>
      <c r="AD26" s="94" cm="1">
        <f t="array" aca="1" ref="AD26" ca="1">IF(AC$3="None",0,(INDIRECT("TABLE_WTL[@[" &amp; AD$4 &amp; "]]")))</f>
        <v>0</v>
      </c>
      <c r="AE26" s="111">
        <f t="shared" si="9"/>
        <v>0</v>
      </c>
      <c r="AF26" s="125">
        <v>0</v>
      </c>
      <c r="AG26" s="94" cm="1">
        <f t="array" aca="1" ref="AG26" ca="1">IF(AF$3="None",0,(INDIRECT("TABLE_WTL[@[" &amp; AG$4 &amp; "]]")))</f>
        <v>0</v>
      </c>
      <c r="AH26" s="111">
        <f t="shared" si="10"/>
        <v>0</v>
      </c>
      <c r="AI26" s="128">
        <v>0</v>
      </c>
      <c r="AJ26" s="94" cm="1">
        <f t="array" aca="1" ref="AJ26" ca="1">IF(AI$3="None",0,(INDIRECT("TABLE_WTL[@[" &amp; AJ$4 &amp; "]]")))</f>
        <v>0</v>
      </c>
      <c r="AK26" s="111">
        <f t="shared" si="11"/>
        <v>0</v>
      </c>
      <c r="AL26" s="125">
        <v>0</v>
      </c>
      <c r="AM26" s="94" cm="1">
        <f t="array" aca="1" ref="AM26" ca="1">IF(AL$3="None",0,(INDIRECT("TABLE_WTL[@[" &amp; AM$4 &amp; "]]")))</f>
        <v>0</v>
      </c>
      <c r="AN26" s="111">
        <f t="shared" si="12"/>
        <v>0</v>
      </c>
      <c r="AO26" s="125">
        <v>0</v>
      </c>
      <c r="AP26" s="94" cm="1">
        <f t="array" aca="1" ref="AP26" ca="1">IF(AO$3="None",0,(INDIRECT("TABLE_WTL[@[" &amp; AP$4 &amp; "]]")))</f>
        <v>0</v>
      </c>
      <c r="AQ26" s="112"/>
      <c r="AR26" s="135"/>
      <c r="AS26" s="136"/>
      <c r="AT26" s="136"/>
      <c r="AU26" s="136"/>
      <c r="AV26" s="136"/>
      <c r="AW26" s="136"/>
      <c r="AX26" s="137"/>
      <c r="AY26" s="112"/>
      <c r="AZ26" s="149"/>
      <c r="BA26" s="113"/>
      <c r="BB26" s="144"/>
      <c r="BC26" s="145"/>
      <c r="BD26" s="145"/>
      <c r="BE26" s="145"/>
      <c r="BF26" s="145"/>
      <c r="BG26" s="145"/>
      <c r="BH26" s="145"/>
      <c r="BI26" s="146"/>
      <c r="BJ26" s="113"/>
      <c r="BK26" s="96">
        <f>N26/ATP_Conditions!$C$8</f>
        <v>8</v>
      </c>
    </row>
    <row r="27" spans="1:63" ht="15" thickBot="1" x14ac:dyDescent="0.4">
      <c r="A27" s="31">
        <f t="shared" si="13"/>
        <v>23</v>
      </c>
      <c r="B27" s="97">
        <f t="shared" si="0"/>
        <v>23</v>
      </c>
      <c r="C27" s="98">
        <f t="shared" si="14"/>
        <v>46174</v>
      </c>
      <c r="D27" s="99" t="str">
        <f t="shared" si="1"/>
        <v>23-2026</v>
      </c>
      <c r="E27" s="100" t="str">
        <f>_xlfn.IFNA(VLOOKUP(D27,Race_Calendar!D:F,2,FALSE),"-")</f>
        <v>Uilentorenloop</v>
      </c>
      <c r="F27" s="97" t="str">
        <f>_xlfn.IFNA(VLOOKUP($D27,Race_Calendar!$D:$F,3,FALSE),"-")</f>
        <v>C</v>
      </c>
      <c r="G27" s="245">
        <f>_xlfn.IFNA(VLOOKUP(D27,Race_Calendar!D:H,4,FALSE),"-")</f>
        <v>46179</v>
      </c>
      <c r="H27" s="101"/>
      <c r="I27" s="121" t="s">
        <v>73</v>
      </c>
      <c r="J27" s="124" t="s">
        <v>102</v>
      </c>
      <c r="K27" s="123" t="str">
        <f t="shared" si="15"/>
        <v>Build 1-4</v>
      </c>
      <c r="L27" s="102"/>
      <c r="M27" s="99"/>
      <c r="N27" s="103">
        <f>VLOOKUP(K27,ATP_Conditions!M:N,2,FALSE)</f>
        <v>360</v>
      </c>
      <c r="O27" s="31">
        <f>SUM(T27,W27,Z27,AC27,AF27,AI27,AL27,AO27)+ATP_Conditions!$C$7</f>
        <v>50</v>
      </c>
      <c r="P27" s="32">
        <f t="shared" ca="1" si="2"/>
        <v>285</v>
      </c>
      <c r="Q27" s="91">
        <f t="shared" si="3"/>
        <v>-310</v>
      </c>
      <c r="R27" s="92">
        <f t="shared" ca="1" si="4"/>
        <v>-75</v>
      </c>
      <c r="S27" s="104">
        <f t="shared" si="5"/>
        <v>50</v>
      </c>
      <c r="T27" s="125">
        <v>50</v>
      </c>
      <c r="U27" s="94" cm="1">
        <f t="array" aca="1" ref="U27" ca="1">IF(T$3="None",0,(INDIRECT("TABLE_WTL[@[" &amp; U$4 &amp; "]]")))</f>
        <v>35</v>
      </c>
      <c r="V27" s="104">
        <f t="shared" si="6"/>
        <v>0</v>
      </c>
      <c r="W27" s="125">
        <v>0</v>
      </c>
      <c r="X27" s="94" cm="1">
        <f t="array" aca="1" ref="X27" ca="1">IF(W$3="None",0,(INDIRECT("TABLE_WTL[@[" &amp; X$4 &amp; "]]")))</f>
        <v>0</v>
      </c>
      <c r="Y27" s="104">
        <f t="shared" si="7"/>
        <v>0</v>
      </c>
      <c r="Z27" s="125">
        <v>0</v>
      </c>
      <c r="AA27" s="94" cm="1">
        <f t="array" aca="1" ref="AA27" ca="1">IF(Z$3="None",0,(INDIRECT("TABLE_WTL[@[" &amp; AA$4 &amp; "]]")))</f>
        <v>100</v>
      </c>
      <c r="AB27" s="104">
        <f t="shared" si="8"/>
        <v>0</v>
      </c>
      <c r="AC27" s="125">
        <v>0</v>
      </c>
      <c r="AD27" s="94" cm="1">
        <f t="array" aca="1" ref="AD27" ca="1">IF(AC$3="None",0,(INDIRECT("TABLE_WTL[@[" &amp; AD$4 &amp; "]]")))</f>
        <v>150</v>
      </c>
      <c r="AE27" s="104">
        <f t="shared" si="9"/>
        <v>0</v>
      </c>
      <c r="AF27" s="125">
        <v>0</v>
      </c>
      <c r="AG27" s="94" cm="1">
        <f t="array" aca="1" ref="AG27" ca="1">IF(AF$3="None",0,(INDIRECT("TABLE_WTL[@[" &amp; AG$4 &amp; "]]")))</f>
        <v>0</v>
      </c>
      <c r="AH27" s="104">
        <f t="shared" si="10"/>
        <v>0</v>
      </c>
      <c r="AI27" s="125">
        <v>0</v>
      </c>
      <c r="AJ27" s="94" cm="1">
        <f t="array" aca="1" ref="AJ27" ca="1">IF(AI$3="None",0,(INDIRECT("TABLE_WTL[@[" &amp; AJ$4 &amp; "]]")))</f>
        <v>0</v>
      </c>
      <c r="AK27" s="104">
        <f t="shared" si="11"/>
        <v>0</v>
      </c>
      <c r="AL27" s="125">
        <v>0</v>
      </c>
      <c r="AM27" s="94" cm="1">
        <f t="array" aca="1" ref="AM27" ca="1">IF(AL$3="None",0,(INDIRECT("TABLE_WTL[@[" &amp; AM$4 &amp; "]]")))</f>
        <v>0</v>
      </c>
      <c r="AN27" s="104">
        <f t="shared" si="12"/>
        <v>0</v>
      </c>
      <c r="AO27" s="125">
        <v>0</v>
      </c>
      <c r="AP27" s="94" cm="1">
        <f t="array" aca="1" ref="AP27" ca="1">IF(AO$3="None",0,(INDIRECT("TABLE_WTL[@[" &amp; AP$4 &amp; "]]")))</f>
        <v>0</v>
      </c>
      <c r="AQ27" s="105"/>
      <c r="AR27" s="128"/>
      <c r="AS27" s="132"/>
      <c r="AT27" s="132"/>
      <c r="AU27" s="132"/>
      <c r="AV27" s="132"/>
      <c r="AW27" s="132"/>
      <c r="AX27" s="133"/>
      <c r="AY27" s="105"/>
      <c r="AZ27" s="148"/>
      <c r="BA27" s="63"/>
      <c r="BB27" s="141"/>
      <c r="BC27" s="142"/>
      <c r="BD27" s="142"/>
      <c r="BE27" s="142"/>
      <c r="BF27" s="142"/>
      <c r="BG27" s="142"/>
      <c r="BH27" s="142"/>
      <c r="BI27" s="143"/>
      <c r="BJ27" s="63"/>
      <c r="BK27" s="96">
        <f>N27/ATP_Conditions!$C$8</f>
        <v>5.1428571428571432</v>
      </c>
    </row>
    <row r="28" spans="1:63" ht="15" thickBot="1" x14ac:dyDescent="0.4">
      <c r="A28" s="31">
        <f t="shared" si="13"/>
        <v>24</v>
      </c>
      <c r="B28" s="97">
        <f t="shared" si="0"/>
        <v>24</v>
      </c>
      <c r="C28" s="98">
        <f t="shared" si="14"/>
        <v>46181</v>
      </c>
      <c r="D28" s="99" t="str">
        <f t="shared" si="1"/>
        <v>24-2026</v>
      </c>
      <c r="E28" s="100" t="str">
        <f>_xlfn.IFNA(VLOOKUP(D28,Race_Calendar!D:F,2,FALSE),"-")</f>
        <v>-</v>
      </c>
      <c r="F28" s="97" t="str">
        <f>_xlfn.IFNA(VLOOKUP($D28,Race_Calendar!$D:$F,3,FALSE),"-")</f>
        <v>-</v>
      </c>
      <c r="G28" s="245" t="str">
        <f>_xlfn.IFNA(VLOOKUP(D28,Race_Calendar!D:H,4,FALSE),"-")</f>
        <v>-</v>
      </c>
      <c r="H28" s="101"/>
      <c r="I28" s="121" t="s">
        <v>74</v>
      </c>
      <c r="J28" s="124" t="s">
        <v>99</v>
      </c>
      <c r="K28" s="123" t="str">
        <f t="shared" si="15"/>
        <v>Build 2-1</v>
      </c>
      <c r="L28" s="102"/>
      <c r="M28" s="99"/>
      <c r="N28" s="103">
        <f>VLOOKUP(K28,ATP_Conditions!M:N,2,FALSE)</f>
        <v>620</v>
      </c>
      <c r="O28" s="31">
        <f>SUM(T28,W28,Z28,AC28,AF28,AI28,AL28,AO28)+ATP_Conditions!$C$7</f>
        <v>50</v>
      </c>
      <c r="P28" s="32">
        <f t="shared" ca="1" si="2"/>
        <v>285</v>
      </c>
      <c r="Q28" s="91">
        <f t="shared" si="3"/>
        <v>-570</v>
      </c>
      <c r="R28" s="92">
        <f t="shared" ca="1" si="4"/>
        <v>-335</v>
      </c>
      <c r="S28" s="104">
        <f t="shared" si="5"/>
        <v>50</v>
      </c>
      <c r="T28" s="125">
        <v>50</v>
      </c>
      <c r="U28" s="94" cm="1">
        <f t="array" aca="1" ref="U28" ca="1">IF(T$3="None",0,(INDIRECT("TABLE_WTL[@[" &amp; U$4 &amp; "]]")))</f>
        <v>35</v>
      </c>
      <c r="V28" s="104">
        <f t="shared" si="6"/>
        <v>0</v>
      </c>
      <c r="W28" s="125">
        <v>0</v>
      </c>
      <c r="X28" s="94" cm="1">
        <f t="array" aca="1" ref="X28" ca="1">IF(W$3="None",0,(INDIRECT("TABLE_WTL[@[" &amp; X$4 &amp; "]]")))</f>
        <v>0</v>
      </c>
      <c r="Y28" s="104">
        <f t="shared" si="7"/>
        <v>0</v>
      </c>
      <c r="Z28" s="125">
        <v>0</v>
      </c>
      <c r="AA28" s="94" cm="1">
        <f t="array" aca="1" ref="AA28" ca="1">IF(Z$3="None",0,(INDIRECT("TABLE_WTL[@[" &amp; AA$4 &amp; "]]")))</f>
        <v>100</v>
      </c>
      <c r="AB28" s="104">
        <f t="shared" si="8"/>
        <v>0</v>
      </c>
      <c r="AC28" s="125">
        <v>0</v>
      </c>
      <c r="AD28" s="94" cm="1">
        <f t="array" aca="1" ref="AD28" ca="1">IF(AC$3="None",0,(INDIRECT("TABLE_WTL[@[" &amp; AD$4 &amp; "]]")))</f>
        <v>150</v>
      </c>
      <c r="AE28" s="104">
        <f t="shared" si="9"/>
        <v>0</v>
      </c>
      <c r="AF28" s="125">
        <v>0</v>
      </c>
      <c r="AG28" s="94" cm="1">
        <f t="array" aca="1" ref="AG28" ca="1">IF(AF$3="None",0,(INDIRECT("TABLE_WTL[@[" &amp; AG$4 &amp; "]]")))</f>
        <v>0</v>
      </c>
      <c r="AH28" s="104">
        <f t="shared" si="10"/>
        <v>0</v>
      </c>
      <c r="AI28" s="125">
        <v>0</v>
      </c>
      <c r="AJ28" s="94" cm="1">
        <f t="array" aca="1" ref="AJ28" ca="1">IF(AI$3="None",0,(INDIRECT("TABLE_WTL[@[" &amp; AJ$4 &amp; "]]")))</f>
        <v>0</v>
      </c>
      <c r="AK28" s="104">
        <f t="shared" si="11"/>
        <v>0</v>
      </c>
      <c r="AL28" s="125">
        <v>0</v>
      </c>
      <c r="AM28" s="94" cm="1">
        <f t="array" aca="1" ref="AM28" ca="1">IF(AL$3="None",0,(INDIRECT("TABLE_WTL[@[" &amp; AM$4 &amp; "]]")))</f>
        <v>0</v>
      </c>
      <c r="AN28" s="104">
        <f t="shared" si="12"/>
        <v>0</v>
      </c>
      <c r="AO28" s="125">
        <v>0</v>
      </c>
      <c r="AP28" s="94" cm="1">
        <f t="array" aca="1" ref="AP28" ca="1">IF(AO$3="None",0,(INDIRECT("TABLE_WTL[@[" &amp; AP$4 &amp; "]]")))</f>
        <v>0</v>
      </c>
      <c r="AQ28" s="105"/>
      <c r="AR28" s="128"/>
      <c r="AS28" s="132"/>
      <c r="AT28" s="132"/>
      <c r="AU28" s="132"/>
      <c r="AV28" s="132"/>
      <c r="AW28" s="132"/>
      <c r="AX28" s="133"/>
      <c r="AY28" s="105"/>
      <c r="AZ28" s="148"/>
      <c r="BA28" s="63"/>
      <c r="BB28" s="141"/>
      <c r="BC28" s="142"/>
      <c r="BD28" s="142"/>
      <c r="BE28" s="142"/>
      <c r="BF28" s="142"/>
      <c r="BG28" s="142"/>
      <c r="BH28" s="142"/>
      <c r="BI28" s="143"/>
      <c r="BJ28" s="63"/>
      <c r="BK28" s="96">
        <f>N28/ATP_Conditions!$C$8</f>
        <v>8.8571428571428577</v>
      </c>
    </row>
    <row r="29" spans="1:63" ht="15" thickBot="1" x14ac:dyDescent="0.4">
      <c r="A29" s="31">
        <f t="shared" si="13"/>
        <v>25</v>
      </c>
      <c r="B29" s="97">
        <f t="shared" si="0"/>
        <v>25</v>
      </c>
      <c r="C29" s="98">
        <f t="shared" si="14"/>
        <v>46188</v>
      </c>
      <c r="D29" s="99" t="str">
        <f t="shared" si="1"/>
        <v>25-2026</v>
      </c>
      <c r="E29" s="100" t="str">
        <f>_xlfn.IFNA(VLOOKUP(D29,Race_Calendar!D:F,2,FALSE),"-")</f>
        <v>-</v>
      </c>
      <c r="F29" s="97" t="str">
        <f>_xlfn.IFNA(VLOOKUP($D29,Race_Calendar!$D:$F,3,FALSE),"-")</f>
        <v>-</v>
      </c>
      <c r="G29" s="245" t="str">
        <f>_xlfn.IFNA(VLOOKUP(D29,Race_Calendar!D:H,4,FALSE),"-")</f>
        <v>-</v>
      </c>
      <c r="H29" s="101"/>
      <c r="I29" s="121" t="s">
        <v>74</v>
      </c>
      <c r="J29" s="124" t="s">
        <v>100</v>
      </c>
      <c r="K29" s="123" t="str">
        <f t="shared" si="15"/>
        <v>Build 2-2</v>
      </c>
      <c r="L29" s="102"/>
      <c r="M29" s="99"/>
      <c r="N29" s="103">
        <f>VLOOKUP(K29,ATP_Conditions!M:N,2,FALSE)</f>
        <v>620</v>
      </c>
      <c r="O29" s="31">
        <f>SUM(T29,W29,Z29,AC29,AF29,AI29,AL29,AO29)+ATP_Conditions!$C$7</f>
        <v>50</v>
      </c>
      <c r="P29" s="32">
        <f t="shared" ca="1" si="2"/>
        <v>285</v>
      </c>
      <c r="Q29" s="91">
        <f t="shared" si="3"/>
        <v>-570</v>
      </c>
      <c r="R29" s="92">
        <f t="shared" ca="1" si="4"/>
        <v>-335</v>
      </c>
      <c r="S29" s="104">
        <f t="shared" si="5"/>
        <v>50</v>
      </c>
      <c r="T29" s="125">
        <v>50</v>
      </c>
      <c r="U29" s="94" cm="1">
        <f t="array" aca="1" ref="U29" ca="1">IF(T$3="None",0,(INDIRECT("TABLE_WTL[@[" &amp; U$4 &amp; "]]")))</f>
        <v>35</v>
      </c>
      <c r="V29" s="104">
        <f t="shared" si="6"/>
        <v>0</v>
      </c>
      <c r="W29" s="125">
        <v>0</v>
      </c>
      <c r="X29" s="94" cm="1">
        <f t="array" aca="1" ref="X29" ca="1">IF(W$3="None",0,(INDIRECT("TABLE_WTL[@[" &amp; X$4 &amp; "]]")))</f>
        <v>0</v>
      </c>
      <c r="Y29" s="104">
        <f t="shared" si="7"/>
        <v>0</v>
      </c>
      <c r="Z29" s="125">
        <v>0</v>
      </c>
      <c r="AA29" s="94" cm="1">
        <f t="array" aca="1" ref="AA29" ca="1">IF(Z$3="None",0,(INDIRECT("TABLE_WTL[@[" &amp; AA$4 &amp; "]]")))</f>
        <v>100</v>
      </c>
      <c r="AB29" s="104">
        <f t="shared" si="8"/>
        <v>0</v>
      </c>
      <c r="AC29" s="125">
        <v>0</v>
      </c>
      <c r="AD29" s="94" cm="1">
        <f t="array" aca="1" ref="AD29" ca="1">IF(AC$3="None",0,(INDIRECT("TABLE_WTL[@[" &amp; AD$4 &amp; "]]")))</f>
        <v>150</v>
      </c>
      <c r="AE29" s="104">
        <f t="shared" si="9"/>
        <v>0</v>
      </c>
      <c r="AF29" s="125">
        <v>0</v>
      </c>
      <c r="AG29" s="94" cm="1">
        <f t="array" aca="1" ref="AG29" ca="1">IF(AF$3="None",0,(INDIRECT("TABLE_WTL[@[" &amp; AG$4 &amp; "]]")))</f>
        <v>0</v>
      </c>
      <c r="AH29" s="104">
        <f t="shared" si="10"/>
        <v>0</v>
      </c>
      <c r="AI29" s="125">
        <v>0</v>
      </c>
      <c r="AJ29" s="94" cm="1">
        <f t="array" aca="1" ref="AJ29" ca="1">IF(AI$3="None",0,(INDIRECT("TABLE_WTL[@[" &amp; AJ$4 &amp; "]]")))</f>
        <v>0</v>
      </c>
      <c r="AK29" s="104">
        <f t="shared" si="11"/>
        <v>0</v>
      </c>
      <c r="AL29" s="125">
        <v>0</v>
      </c>
      <c r="AM29" s="94" cm="1">
        <f t="array" aca="1" ref="AM29" ca="1">IF(AL$3="None",0,(INDIRECT("TABLE_WTL[@[" &amp; AM$4 &amp; "]]")))</f>
        <v>0</v>
      </c>
      <c r="AN29" s="104">
        <f t="shared" si="12"/>
        <v>0</v>
      </c>
      <c r="AO29" s="125">
        <v>0</v>
      </c>
      <c r="AP29" s="94" cm="1">
        <f t="array" aca="1" ref="AP29" ca="1">IF(AO$3="None",0,(INDIRECT("TABLE_WTL[@[" &amp; AP$4 &amp; "]]")))</f>
        <v>0</v>
      </c>
      <c r="AQ29" s="105"/>
      <c r="AR29" s="128"/>
      <c r="AS29" s="132"/>
      <c r="AT29" s="132"/>
      <c r="AU29" s="132"/>
      <c r="AV29" s="132"/>
      <c r="AW29" s="132"/>
      <c r="AX29" s="133"/>
      <c r="AY29" s="105"/>
      <c r="AZ29" s="148"/>
      <c r="BA29" s="63"/>
      <c r="BB29" s="141"/>
      <c r="BC29" s="142"/>
      <c r="BD29" s="142"/>
      <c r="BE29" s="142"/>
      <c r="BF29" s="142"/>
      <c r="BG29" s="142"/>
      <c r="BH29" s="142"/>
      <c r="BI29" s="143"/>
      <c r="BJ29" s="63"/>
      <c r="BK29" s="96">
        <f>N29/ATP_Conditions!$C$8</f>
        <v>8.8571428571428577</v>
      </c>
    </row>
    <row r="30" spans="1:63" ht="15" thickBot="1" x14ac:dyDescent="0.4">
      <c r="A30" s="31">
        <f t="shared" si="13"/>
        <v>26</v>
      </c>
      <c r="B30" s="97">
        <f t="shared" si="0"/>
        <v>26</v>
      </c>
      <c r="C30" s="98">
        <f t="shared" si="14"/>
        <v>46195</v>
      </c>
      <c r="D30" s="99" t="str">
        <f t="shared" si="1"/>
        <v>26-2026</v>
      </c>
      <c r="E30" s="100" t="str">
        <f>_xlfn.IFNA(VLOOKUP(D30,Race_Calendar!D:F,2,FALSE),"-")</f>
        <v>-</v>
      </c>
      <c r="F30" s="97" t="str">
        <f>_xlfn.IFNA(VLOOKUP($D30,Race_Calendar!$D:$F,3,FALSE),"-")</f>
        <v>-</v>
      </c>
      <c r="G30" s="245" t="str">
        <f>_xlfn.IFNA(VLOOKUP(D30,Race_Calendar!D:H,4,FALSE),"-")</f>
        <v>-</v>
      </c>
      <c r="H30" s="101"/>
      <c r="I30" s="121" t="s">
        <v>69</v>
      </c>
      <c r="J30" s="124"/>
      <c r="K30" s="123" t="str">
        <f t="shared" si="15"/>
        <v>Prep</v>
      </c>
      <c r="L30" s="102"/>
      <c r="M30" s="99"/>
      <c r="N30" s="103">
        <f>VLOOKUP(K30,ATP_Conditions!M:N,2,FALSE)</f>
        <v>360</v>
      </c>
      <c r="O30" s="31">
        <f>SUM(T30,W30,Z30,AC30,AF30,AI30,AL30,AO30)+ATP_Conditions!$C$7</f>
        <v>50</v>
      </c>
      <c r="P30" s="32">
        <f t="shared" ca="1" si="2"/>
        <v>357</v>
      </c>
      <c r="Q30" s="91">
        <f t="shared" si="3"/>
        <v>-310</v>
      </c>
      <c r="R30" s="92">
        <f t="shared" ca="1" si="4"/>
        <v>-3</v>
      </c>
      <c r="S30" s="104">
        <f t="shared" si="5"/>
        <v>50</v>
      </c>
      <c r="T30" s="125">
        <v>50</v>
      </c>
      <c r="U30" s="94" cm="1">
        <f t="array" aca="1" ref="U30" ca="1">IF(T$3="None",0,(INDIRECT("TABLE_WTL[@[" &amp; U$4 &amp; "]]")))</f>
        <v>35</v>
      </c>
      <c r="V30" s="104">
        <f t="shared" si="6"/>
        <v>0</v>
      </c>
      <c r="W30" s="125">
        <v>0</v>
      </c>
      <c r="X30" s="94" cm="1">
        <f t="array" aca="1" ref="X30" ca="1">IF(W$3="None",0,(INDIRECT("TABLE_WTL[@[" &amp; X$4 &amp; "]]")))</f>
        <v>0</v>
      </c>
      <c r="Y30" s="104">
        <f t="shared" si="7"/>
        <v>0</v>
      </c>
      <c r="Z30" s="125">
        <v>0</v>
      </c>
      <c r="AA30" s="94" cm="1">
        <f t="array" aca="1" ref="AA30" ca="1">IF(Z$3="None",0,(INDIRECT("TABLE_WTL[@[" &amp; AA$4 &amp; "]]")))</f>
        <v>172</v>
      </c>
      <c r="AB30" s="104">
        <f t="shared" si="8"/>
        <v>0</v>
      </c>
      <c r="AC30" s="125">
        <v>0</v>
      </c>
      <c r="AD30" s="94" cm="1">
        <f t="array" aca="1" ref="AD30" ca="1">IF(AC$3="None",0,(INDIRECT("TABLE_WTL[@[" &amp; AD$4 &amp; "]]")))</f>
        <v>150</v>
      </c>
      <c r="AE30" s="104">
        <f t="shared" si="9"/>
        <v>0</v>
      </c>
      <c r="AF30" s="125">
        <v>0</v>
      </c>
      <c r="AG30" s="94" cm="1">
        <f t="array" aca="1" ref="AG30" ca="1">IF(AF$3="None",0,(INDIRECT("TABLE_WTL[@[" &amp; AG$4 &amp; "]]")))</f>
        <v>0</v>
      </c>
      <c r="AH30" s="104">
        <f t="shared" si="10"/>
        <v>0</v>
      </c>
      <c r="AI30" s="125">
        <v>0</v>
      </c>
      <c r="AJ30" s="94" cm="1">
        <f t="array" aca="1" ref="AJ30" ca="1">IF(AI$3="None",0,(INDIRECT("TABLE_WTL[@[" &amp; AJ$4 &amp; "]]")))</f>
        <v>0</v>
      </c>
      <c r="AK30" s="104">
        <f t="shared" si="11"/>
        <v>0</v>
      </c>
      <c r="AL30" s="125">
        <v>0</v>
      </c>
      <c r="AM30" s="94" cm="1">
        <f t="array" aca="1" ref="AM30" ca="1">IF(AL$3="None",0,(INDIRECT("TABLE_WTL[@[" &amp; AM$4 &amp; "]]")))</f>
        <v>0</v>
      </c>
      <c r="AN30" s="104">
        <f t="shared" si="12"/>
        <v>0</v>
      </c>
      <c r="AO30" s="125">
        <v>0</v>
      </c>
      <c r="AP30" s="94" cm="1">
        <f t="array" aca="1" ref="AP30" ca="1">IF(AO$3="None",0,(INDIRECT("TABLE_WTL[@[" &amp; AP$4 &amp; "]]")))</f>
        <v>0</v>
      </c>
      <c r="AQ30" s="105"/>
      <c r="AR30" s="128"/>
      <c r="AS30" s="132"/>
      <c r="AT30" s="132"/>
      <c r="AU30" s="132"/>
      <c r="AV30" s="132"/>
      <c r="AW30" s="132"/>
      <c r="AX30" s="133"/>
      <c r="AY30" s="105"/>
      <c r="AZ30" s="148"/>
      <c r="BA30" s="63"/>
      <c r="BB30" s="141"/>
      <c r="BC30" s="142"/>
      <c r="BD30" s="142"/>
      <c r="BE30" s="142"/>
      <c r="BF30" s="142"/>
      <c r="BG30" s="142"/>
      <c r="BH30" s="142"/>
      <c r="BI30" s="143"/>
      <c r="BJ30" s="63"/>
      <c r="BK30" s="96">
        <f>N30/ATP_Conditions!$C$8</f>
        <v>5.1428571428571432</v>
      </c>
    </row>
    <row r="31" spans="1:63" ht="15" thickBot="1" x14ac:dyDescent="0.4">
      <c r="A31" s="31">
        <f t="shared" si="13"/>
        <v>27</v>
      </c>
      <c r="B31" s="97">
        <f t="shared" si="0"/>
        <v>27</v>
      </c>
      <c r="C31" s="98">
        <f t="shared" si="14"/>
        <v>46202</v>
      </c>
      <c r="D31" s="99" t="str">
        <f t="shared" si="1"/>
        <v>27-2026</v>
      </c>
      <c r="E31" s="100" t="str">
        <f>_xlfn.IFNA(VLOOKUP(D31,Race_Calendar!D:F,2,FALSE),"-")</f>
        <v>-</v>
      </c>
      <c r="F31" s="97" t="str">
        <f>_xlfn.IFNA(VLOOKUP($D31,Race_Calendar!$D:$F,3,FALSE),"-")</f>
        <v>-</v>
      </c>
      <c r="G31" s="245" t="str">
        <f>_xlfn.IFNA(VLOOKUP(D31,Race_Calendar!D:H,4,FALSE),"-")</f>
        <v>-</v>
      </c>
      <c r="H31" s="101"/>
      <c r="I31" s="121" t="s">
        <v>77</v>
      </c>
      <c r="J31" s="124"/>
      <c r="K31" s="123" t="str">
        <f t="shared" si="15"/>
        <v>Trans</v>
      </c>
      <c r="L31" s="102"/>
      <c r="M31" s="99"/>
      <c r="N31" s="103">
        <f>VLOOKUP(K31,ATP_Conditions!M:N,2,FALSE)</f>
        <v>230</v>
      </c>
      <c r="O31" s="31">
        <f>SUM(T31,W31,Z31,AC31,AF31,AI31,AL31,AO31)+ATP_Conditions!$C$7</f>
        <v>50</v>
      </c>
      <c r="P31" s="32">
        <f t="shared" ca="1" si="2"/>
        <v>357</v>
      </c>
      <c r="Q31" s="91">
        <f t="shared" si="3"/>
        <v>-180</v>
      </c>
      <c r="R31" s="92">
        <f t="shared" ca="1" si="4"/>
        <v>127</v>
      </c>
      <c r="S31" s="104">
        <f t="shared" si="5"/>
        <v>50</v>
      </c>
      <c r="T31" s="125">
        <v>50</v>
      </c>
      <c r="U31" s="94" cm="1">
        <f t="array" aca="1" ref="U31" ca="1">IF(T$3="None",0,(INDIRECT("TABLE_WTL[@[" &amp; U$4 &amp; "]]")))</f>
        <v>35</v>
      </c>
      <c r="V31" s="104">
        <f t="shared" si="6"/>
        <v>0</v>
      </c>
      <c r="W31" s="125">
        <v>0</v>
      </c>
      <c r="X31" s="94" cm="1">
        <f t="array" aca="1" ref="X31" ca="1">IF(W$3="None",0,(INDIRECT("TABLE_WTL[@[" &amp; X$4 &amp; "]]")))</f>
        <v>0</v>
      </c>
      <c r="Y31" s="104">
        <f t="shared" si="7"/>
        <v>0</v>
      </c>
      <c r="Z31" s="125">
        <v>0</v>
      </c>
      <c r="AA31" s="94" cm="1">
        <f t="array" aca="1" ref="AA31" ca="1">IF(Z$3="None",0,(INDIRECT("TABLE_WTL[@[" &amp; AA$4 &amp; "]]")))</f>
        <v>172</v>
      </c>
      <c r="AB31" s="104">
        <f t="shared" si="8"/>
        <v>0</v>
      </c>
      <c r="AC31" s="125">
        <v>0</v>
      </c>
      <c r="AD31" s="94" cm="1">
        <f t="array" aca="1" ref="AD31" ca="1">IF(AC$3="None",0,(INDIRECT("TABLE_WTL[@[" &amp; AD$4 &amp; "]]")))</f>
        <v>150</v>
      </c>
      <c r="AE31" s="104">
        <f t="shared" si="9"/>
        <v>0</v>
      </c>
      <c r="AF31" s="125">
        <v>0</v>
      </c>
      <c r="AG31" s="94" cm="1">
        <f t="array" aca="1" ref="AG31" ca="1">IF(AF$3="None",0,(INDIRECT("TABLE_WTL[@[" &amp; AG$4 &amp; "]]")))</f>
        <v>0</v>
      </c>
      <c r="AH31" s="104">
        <f t="shared" si="10"/>
        <v>0</v>
      </c>
      <c r="AI31" s="125">
        <v>0</v>
      </c>
      <c r="AJ31" s="94" cm="1">
        <f t="array" aca="1" ref="AJ31" ca="1">IF(AI$3="None",0,(INDIRECT("TABLE_WTL[@[" &amp; AJ$4 &amp; "]]")))</f>
        <v>0</v>
      </c>
      <c r="AK31" s="104">
        <f t="shared" si="11"/>
        <v>0</v>
      </c>
      <c r="AL31" s="125">
        <v>0</v>
      </c>
      <c r="AM31" s="94" cm="1">
        <f t="array" aca="1" ref="AM31" ca="1">IF(AL$3="None",0,(INDIRECT("TABLE_WTL[@[" &amp; AM$4 &amp; "]]")))</f>
        <v>0</v>
      </c>
      <c r="AN31" s="104">
        <f t="shared" si="12"/>
        <v>0</v>
      </c>
      <c r="AO31" s="125">
        <v>0</v>
      </c>
      <c r="AP31" s="94" cm="1">
        <f t="array" aca="1" ref="AP31" ca="1">IF(AO$3="None",0,(INDIRECT("TABLE_WTL[@[" &amp; AP$4 &amp; "]]")))</f>
        <v>0</v>
      </c>
      <c r="AQ31" s="105"/>
      <c r="AR31" s="128"/>
      <c r="AS31" s="132"/>
      <c r="AT31" s="132"/>
      <c r="AU31" s="132"/>
      <c r="AV31" s="132"/>
      <c r="AW31" s="132"/>
      <c r="AX31" s="133"/>
      <c r="AY31" s="105"/>
      <c r="AZ31" s="148"/>
      <c r="BA31" s="63"/>
      <c r="BB31" s="141"/>
      <c r="BC31" s="142"/>
      <c r="BD31" s="142"/>
      <c r="BE31" s="142"/>
      <c r="BF31" s="142"/>
      <c r="BG31" s="142"/>
      <c r="BH31" s="142"/>
      <c r="BI31" s="143"/>
      <c r="BJ31" s="63"/>
      <c r="BK31" s="96">
        <f>N31/ATP_Conditions!$C$8</f>
        <v>3.2857142857142856</v>
      </c>
    </row>
    <row r="32" spans="1:63" ht="15" thickBot="1" x14ac:dyDescent="0.4">
      <c r="A32" s="31">
        <f t="shared" si="13"/>
        <v>28</v>
      </c>
      <c r="B32" s="97">
        <f t="shared" si="0"/>
        <v>28</v>
      </c>
      <c r="C32" s="98">
        <f t="shared" si="14"/>
        <v>46209</v>
      </c>
      <c r="D32" s="99" t="str">
        <f t="shared" si="1"/>
        <v>28-2026</v>
      </c>
      <c r="E32" s="100" t="str">
        <f>_xlfn.IFNA(VLOOKUP(D32,Race_Calendar!D:F,2,FALSE),"-")</f>
        <v>-</v>
      </c>
      <c r="F32" s="97" t="str">
        <f>_xlfn.IFNA(VLOOKUP($D32,Race_Calendar!$D:$F,3,FALSE),"-")</f>
        <v>-</v>
      </c>
      <c r="G32" s="245" t="str">
        <f>_xlfn.IFNA(VLOOKUP(D32,Race_Calendar!D:H,4,FALSE),"-")</f>
        <v>-</v>
      </c>
      <c r="H32" s="101"/>
      <c r="I32" s="121" t="s">
        <v>77</v>
      </c>
      <c r="J32" s="124"/>
      <c r="K32" s="123" t="str">
        <f t="shared" si="15"/>
        <v>Trans</v>
      </c>
      <c r="L32" s="102"/>
      <c r="M32" s="99"/>
      <c r="N32" s="103">
        <f>VLOOKUP(K32,ATP_Conditions!M:N,2,FALSE)</f>
        <v>230</v>
      </c>
      <c r="O32" s="31">
        <f>SUM(T32,W32,Z32,AC32,AF32,AI32,AL32,AO32)+ATP_Conditions!$C$7</f>
        <v>50</v>
      </c>
      <c r="P32" s="32">
        <f t="shared" ca="1" si="2"/>
        <v>357</v>
      </c>
      <c r="Q32" s="91">
        <f t="shared" si="3"/>
        <v>-180</v>
      </c>
      <c r="R32" s="92">
        <f t="shared" ca="1" si="4"/>
        <v>127</v>
      </c>
      <c r="S32" s="104">
        <f t="shared" si="5"/>
        <v>50</v>
      </c>
      <c r="T32" s="125">
        <v>50</v>
      </c>
      <c r="U32" s="94" cm="1">
        <f t="array" aca="1" ref="U32" ca="1">IF(T$3="None",0,(INDIRECT("TABLE_WTL[@[" &amp; U$4 &amp; "]]")))</f>
        <v>35</v>
      </c>
      <c r="V32" s="104">
        <f t="shared" si="6"/>
        <v>0</v>
      </c>
      <c r="W32" s="125">
        <v>0</v>
      </c>
      <c r="X32" s="94" cm="1">
        <f t="array" aca="1" ref="X32" ca="1">IF(W$3="None",0,(INDIRECT("TABLE_WTL[@[" &amp; X$4 &amp; "]]")))</f>
        <v>0</v>
      </c>
      <c r="Y32" s="104">
        <f t="shared" si="7"/>
        <v>0</v>
      </c>
      <c r="Z32" s="125">
        <v>0</v>
      </c>
      <c r="AA32" s="94" cm="1">
        <f t="array" aca="1" ref="AA32" ca="1">IF(Z$3="None",0,(INDIRECT("TABLE_WTL[@[" &amp; AA$4 &amp; "]]")))</f>
        <v>172</v>
      </c>
      <c r="AB32" s="104">
        <f t="shared" si="8"/>
        <v>0</v>
      </c>
      <c r="AC32" s="125">
        <v>0</v>
      </c>
      <c r="AD32" s="94" cm="1">
        <f t="array" aca="1" ref="AD32" ca="1">IF(AC$3="None",0,(INDIRECT("TABLE_WTL[@[" &amp; AD$4 &amp; "]]")))</f>
        <v>150</v>
      </c>
      <c r="AE32" s="104">
        <f t="shared" si="9"/>
        <v>0</v>
      </c>
      <c r="AF32" s="125">
        <v>0</v>
      </c>
      <c r="AG32" s="94" cm="1">
        <f t="array" aca="1" ref="AG32" ca="1">IF(AF$3="None",0,(INDIRECT("TABLE_WTL[@[" &amp; AG$4 &amp; "]]")))</f>
        <v>0</v>
      </c>
      <c r="AH32" s="104">
        <f t="shared" si="10"/>
        <v>0</v>
      </c>
      <c r="AI32" s="125">
        <v>0</v>
      </c>
      <c r="AJ32" s="94" cm="1">
        <f t="array" aca="1" ref="AJ32" ca="1">IF(AI$3="None",0,(INDIRECT("TABLE_WTL[@[" &amp; AJ$4 &amp; "]]")))</f>
        <v>0</v>
      </c>
      <c r="AK32" s="104">
        <f t="shared" si="11"/>
        <v>0</v>
      </c>
      <c r="AL32" s="125">
        <v>0</v>
      </c>
      <c r="AM32" s="94" cm="1">
        <f t="array" aca="1" ref="AM32" ca="1">IF(AL$3="None",0,(INDIRECT("TABLE_WTL[@[" &amp; AM$4 &amp; "]]")))</f>
        <v>0</v>
      </c>
      <c r="AN32" s="104">
        <f t="shared" si="12"/>
        <v>0</v>
      </c>
      <c r="AO32" s="125">
        <v>0</v>
      </c>
      <c r="AP32" s="94" cm="1">
        <f t="array" aca="1" ref="AP32" ca="1">IF(AO$3="None",0,(INDIRECT("TABLE_WTL[@[" &amp; AP$4 &amp; "]]")))</f>
        <v>0</v>
      </c>
      <c r="AQ32" s="105"/>
      <c r="AR32" s="128"/>
      <c r="AS32" s="132"/>
      <c r="AT32" s="132"/>
      <c r="AU32" s="132"/>
      <c r="AV32" s="132"/>
      <c r="AW32" s="132"/>
      <c r="AX32" s="133"/>
      <c r="AY32" s="105"/>
      <c r="AZ32" s="148"/>
      <c r="BA32" s="63"/>
      <c r="BB32" s="141"/>
      <c r="BC32" s="142"/>
      <c r="BD32" s="142"/>
      <c r="BE32" s="142"/>
      <c r="BF32" s="142"/>
      <c r="BG32" s="142"/>
      <c r="BH32" s="142"/>
      <c r="BI32" s="143"/>
      <c r="BJ32" s="63"/>
      <c r="BK32" s="96">
        <f>N32/ATP_Conditions!$C$8</f>
        <v>3.2857142857142856</v>
      </c>
    </row>
    <row r="33" spans="1:63" ht="15" thickBot="1" x14ac:dyDescent="0.4">
      <c r="A33" s="31">
        <f t="shared" si="13"/>
        <v>29</v>
      </c>
      <c r="B33" s="97">
        <f t="shared" si="0"/>
        <v>29</v>
      </c>
      <c r="C33" s="98">
        <f t="shared" si="14"/>
        <v>46216</v>
      </c>
      <c r="D33" s="99" t="str">
        <f t="shared" si="1"/>
        <v>29-2026</v>
      </c>
      <c r="E33" s="100" t="str">
        <f>_xlfn.IFNA(VLOOKUP(D33,Race_Calendar!D:F,2,FALSE),"-")</f>
        <v>-</v>
      </c>
      <c r="F33" s="97" t="str">
        <f>_xlfn.IFNA(VLOOKUP($D33,Race_Calendar!$D:$F,3,FALSE),"-")</f>
        <v>-</v>
      </c>
      <c r="G33" s="245" t="str">
        <f>_xlfn.IFNA(VLOOKUP(D33,Race_Calendar!D:H,4,FALSE),"-")</f>
        <v>-</v>
      </c>
      <c r="H33" s="101"/>
      <c r="I33" s="121" t="s">
        <v>77</v>
      </c>
      <c r="J33" s="124"/>
      <c r="K33" s="123" t="str">
        <f t="shared" si="15"/>
        <v>Trans</v>
      </c>
      <c r="L33" s="102"/>
      <c r="M33" s="99"/>
      <c r="N33" s="103">
        <f>VLOOKUP(K33,ATP_Conditions!M:N,2,FALSE)</f>
        <v>230</v>
      </c>
      <c r="O33" s="31">
        <f>SUM(T33,W33,Z33,AC33,AF33,AI33,AL33,AO33)+ATP_Conditions!$C$7</f>
        <v>50</v>
      </c>
      <c r="P33" s="32">
        <f t="shared" ca="1" si="2"/>
        <v>357</v>
      </c>
      <c r="Q33" s="91">
        <f t="shared" si="3"/>
        <v>-180</v>
      </c>
      <c r="R33" s="92">
        <f t="shared" ca="1" si="4"/>
        <v>127</v>
      </c>
      <c r="S33" s="104">
        <f t="shared" si="5"/>
        <v>50</v>
      </c>
      <c r="T33" s="125">
        <v>50</v>
      </c>
      <c r="U33" s="94" cm="1">
        <f t="array" aca="1" ref="U33" ca="1">IF(T$3="None",0,(INDIRECT("TABLE_WTL[@[" &amp; U$4 &amp; "]]")))</f>
        <v>35</v>
      </c>
      <c r="V33" s="104">
        <f t="shared" si="6"/>
        <v>0</v>
      </c>
      <c r="W33" s="125">
        <v>0</v>
      </c>
      <c r="X33" s="94" cm="1">
        <f t="array" aca="1" ref="X33" ca="1">IF(W$3="None",0,(INDIRECT("TABLE_WTL[@[" &amp; X$4 &amp; "]]")))</f>
        <v>0</v>
      </c>
      <c r="Y33" s="104">
        <f t="shared" si="7"/>
        <v>0</v>
      </c>
      <c r="Z33" s="125">
        <v>0</v>
      </c>
      <c r="AA33" s="94" cm="1">
        <f t="array" aca="1" ref="AA33" ca="1">IF(Z$3="None",0,(INDIRECT("TABLE_WTL[@[" &amp; AA$4 &amp; "]]")))</f>
        <v>172</v>
      </c>
      <c r="AB33" s="104">
        <f t="shared" si="8"/>
        <v>0</v>
      </c>
      <c r="AC33" s="125">
        <v>0</v>
      </c>
      <c r="AD33" s="94" cm="1">
        <f t="array" aca="1" ref="AD33" ca="1">IF(AC$3="None",0,(INDIRECT("TABLE_WTL[@[" &amp; AD$4 &amp; "]]")))</f>
        <v>150</v>
      </c>
      <c r="AE33" s="104">
        <f t="shared" si="9"/>
        <v>0</v>
      </c>
      <c r="AF33" s="125">
        <v>0</v>
      </c>
      <c r="AG33" s="94" cm="1">
        <f t="array" aca="1" ref="AG33" ca="1">IF(AF$3="None",0,(INDIRECT("TABLE_WTL[@[" &amp; AG$4 &amp; "]]")))</f>
        <v>0</v>
      </c>
      <c r="AH33" s="104">
        <f t="shared" si="10"/>
        <v>0</v>
      </c>
      <c r="AI33" s="125">
        <v>0</v>
      </c>
      <c r="AJ33" s="94" cm="1">
        <f t="array" aca="1" ref="AJ33" ca="1">IF(AI$3="None",0,(INDIRECT("TABLE_WTL[@[" &amp; AJ$4 &amp; "]]")))</f>
        <v>0</v>
      </c>
      <c r="AK33" s="104">
        <f t="shared" si="11"/>
        <v>0</v>
      </c>
      <c r="AL33" s="125">
        <v>0</v>
      </c>
      <c r="AM33" s="94" cm="1">
        <f t="array" aca="1" ref="AM33" ca="1">IF(AL$3="None",0,(INDIRECT("TABLE_WTL[@[" &amp; AM$4 &amp; "]]")))</f>
        <v>0</v>
      </c>
      <c r="AN33" s="104">
        <f t="shared" si="12"/>
        <v>0</v>
      </c>
      <c r="AO33" s="125">
        <v>0</v>
      </c>
      <c r="AP33" s="94" cm="1">
        <f t="array" aca="1" ref="AP33" ca="1">IF(AO$3="None",0,(INDIRECT("TABLE_WTL[@[" &amp; AP$4 &amp; "]]")))</f>
        <v>0</v>
      </c>
      <c r="AQ33" s="105"/>
      <c r="AR33" s="128"/>
      <c r="AS33" s="132"/>
      <c r="AT33" s="132"/>
      <c r="AU33" s="132"/>
      <c r="AV33" s="132"/>
      <c r="AW33" s="132"/>
      <c r="AX33" s="133"/>
      <c r="AY33" s="105"/>
      <c r="AZ33" s="148"/>
      <c r="BA33" s="63"/>
      <c r="BB33" s="141"/>
      <c r="BC33" s="142"/>
      <c r="BD33" s="142"/>
      <c r="BE33" s="142"/>
      <c r="BF33" s="142"/>
      <c r="BG33" s="142"/>
      <c r="BH33" s="142"/>
      <c r="BI33" s="143"/>
      <c r="BJ33" s="63"/>
      <c r="BK33" s="96">
        <f>N33/ATP_Conditions!$C$8</f>
        <v>3.2857142857142856</v>
      </c>
    </row>
    <row r="34" spans="1:63" ht="15" thickBot="1" x14ac:dyDescent="0.4">
      <c r="A34" s="31">
        <f t="shared" si="13"/>
        <v>30</v>
      </c>
      <c r="B34" s="97">
        <f t="shared" si="0"/>
        <v>30</v>
      </c>
      <c r="C34" s="98">
        <f t="shared" si="14"/>
        <v>46223</v>
      </c>
      <c r="D34" s="99" t="str">
        <f t="shared" si="1"/>
        <v>30-2026</v>
      </c>
      <c r="E34" s="100" t="str">
        <f>_xlfn.IFNA(VLOOKUP(D34,Race_Calendar!D:F,2,FALSE),"-")</f>
        <v>-</v>
      </c>
      <c r="F34" s="97" t="str">
        <f>_xlfn.IFNA(VLOOKUP($D34,Race_Calendar!$D:$F,3,FALSE),"-")</f>
        <v>-</v>
      </c>
      <c r="G34" s="245" t="str">
        <f>_xlfn.IFNA(VLOOKUP(D34,Race_Calendar!D:H,4,FALSE),"-")</f>
        <v>-</v>
      </c>
      <c r="H34" s="101"/>
      <c r="I34" s="121" t="s">
        <v>74</v>
      </c>
      <c r="J34" s="124" t="s">
        <v>100</v>
      </c>
      <c r="K34" s="123" t="str">
        <f t="shared" si="15"/>
        <v>Build 2-2</v>
      </c>
      <c r="L34" s="102"/>
      <c r="M34" s="99"/>
      <c r="N34" s="103">
        <f>VLOOKUP(K34,ATP_Conditions!M:N,2,FALSE)</f>
        <v>620</v>
      </c>
      <c r="O34" s="31">
        <f>SUM(T34,W34,Z34,AC34,AF34,AI34,AL34,AO34)+ATP_Conditions!$C$7</f>
        <v>50</v>
      </c>
      <c r="P34" s="32">
        <f t="shared" ca="1" si="2"/>
        <v>357</v>
      </c>
      <c r="Q34" s="91">
        <f t="shared" si="3"/>
        <v>-570</v>
      </c>
      <c r="R34" s="92">
        <f t="shared" ca="1" si="4"/>
        <v>-263</v>
      </c>
      <c r="S34" s="104">
        <f t="shared" si="5"/>
        <v>50</v>
      </c>
      <c r="T34" s="125">
        <v>50</v>
      </c>
      <c r="U34" s="94" cm="1">
        <f t="array" aca="1" ref="U34" ca="1">IF(T$3="None",0,(INDIRECT("TABLE_WTL[@[" &amp; U$4 &amp; "]]")))</f>
        <v>35</v>
      </c>
      <c r="V34" s="104">
        <f t="shared" si="6"/>
        <v>0</v>
      </c>
      <c r="W34" s="125">
        <v>0</v>
      </c>
      <c r="X34" s="94" cm="1">
        <f t="array" aca="1" ref="X34" ca="1">IF(W$3="None",0,(INDIRECT("TABLE_WTL[@[" &amp; X$4 &amp; "]]")))</f>
        <v>0</v>
      </c>
      <c r="Y34" s="104">
        <f t="shared" si="7"/>
        <v>0</v>
      </c>
      <c r="Z34" s="125">
        <v>0</v>
      </c>
      <c r="AA34" s="94" cm="1">
        <f t="array" aca="1" ref="AA34" ca="1">IF(Z$3="None",0,(INDIRECT("TABLE_WTL[@[" &amp; AA$4 &amp; "]]")))</f>
        <v>172</v>
      </c>
      <c r="AB34" s="104">
        <f t="shared" si="8"/>
        <v>0</v>
      </c>
      <c r="AC34" s="125">
        <v>0</v>
      </c>
      <c r="AD34" s="94" cm="1">
        <f t="array" aca="1" ref="AD34" ca="1">IF(AC$3="None",0,(INDIRECT("TABLE_WTL[@[" &amp; AD$4 &amp; "]]")))</f>
        <v>150</v>
      </c>
      <c r="AE34" s="104">
        <f t="shared" si="9"/>
        <v>0</v>
      </c>
      <c r="AF34" s="125">
        <v>0</v>
      </c>
      <c r="AG34" s="94" cm="1">
        <f t="array" aca="1" ref="AG34" ca="1">IF(AF$3="None",0,(INDIRECT("TABLE_WTL[@[" &amp; AG$4 &amp; "]]")))</f>
        <v>0</v>
      </c>
      <c r="AH34" s="104">
        <f t="shared" si="10"/>
        <v>0</v>
      </c>
      <c r="AI34" s="125">
        <v>0</v>
      </c>
      <c r="AJ34" s="94" cm="1">
        <f t="array" aca="1" ref="AJ34" ca="1">IF(AI$3="None",0,(INDIRECT("TABLE_WTL[@[" &amp; AJ$4 &amp; "]]")))</f>
        <v>0</v>
      </c>
      <c r="AK34" s="104">
        <f t="shared" si="11"/>
        <v>0</v>
      </c>
      <c r="AL34" s="125">
        <v>0</v>
      </c>
      <c r="AM34" s="94" cm="1">
        <f t="array" aca="1" ref="AM34" ca="1">IF(AL$3="None",0,(INDIRECT("TABLE_WTL[@[" &amp; AM$4 &amp; "]]")))</f>
        <v>0</v>
      </c>
      <c r="AN34" s="104">
        <f t="shared" si="12"/>
        <v>0</v>
      </c>
      <c r="AO34" s="125">
        <v>0</v>
      </c>
      <c r="AP34" s="94" cm="1">
        <f t="array" aca="1" ref="AP34" ca="1">IF(AO$3="None",0,(INDIRECT("TABLE_WTL[@[" &amp; AP$4 &amp; "]]")))</f>
        <v>0</v>
      </c>
      <c r="AQ34" s="105"/>
      <c r="AR34" s="128"/>
      <c r="AS34" s="132"/>
      <c r="AT34" s="132"/>
      <c r="AU34" s="132"/>
      <c r="AV34" s="132"/>
      <c r="AW34" s="132"/>
      <c r="AX34" s="133"/>
      <c r="AY34" s="105"/>
      <c r="AZ34" s="148"/>
      <c r="BA34" s="63"/>
      <c r="BB34" s="141"/>
      <c r="BC34" s="142"/>
      <c r="BD34" s="142"/>
      <c r="BE34" s="142"/>
      <c r="BF34" s="142"/>
      <c r="BG34" s="142"/>
      <c r="BH34" s="142"/>
      <c r="BI34" s="143"/>
      <c r="BJ34" s="63"/>
      <c r="BK34" s="96">
        <f>N34/ATP_Conditions!$C$8</f>
        <v>8.8571428571428577</v>
      </c>
    </row>
    <row r="35" spans="1:63" ht="15" thickBot="1" x14ac:dyDescent="0.4">
      <c r="A35" s="31">
        <f t="shared" si="13"/>
        <v>31</v>
      </c>
      <c r="B35" s="97">
        <f t="shared" si="0"/>
        <v>31</v>
      </c>
      <c r="C35" s="98">
        <f t="shared" si="14"/>
        <v>46230</v>
      </c>
      <c r="D35" s="99" t="str">
        <f t="shared" si="1"/>
        <v>31-2026</v>
      </c>
      <c r="E35" s="100" t="str">
        <f>_xlfn.IFNA(VLOOKUP(D35,Race_Calendar!D:F,2,FALSE),"-")</f>
        <v>-</v>
      </c>
      <c r="F35" s="97" t="str">
        <f>_xlfn.IFNA(VLOOKUP($D35,Race_Calendar!$D:$F,3,FALSE),"-")</f>
        <v>-</v>
      </c>
      <c r="G35" s="245" t="str">
        <f>_xlfn.IFNA(VLOOKUP(D35,Race_Calendar!D:H,4,FALSE),"-")</f>
        <v>-</v>
      </c>
      <c r="H35" s="101"/>
      <c r="I35" s="121" t="s">
        <v>74</v>
      </c>
      <c r="J35" s="124" t="s">
        <v>101</v>
      </c>
      <c r="K35" s="123" t="str">
        <f t="shared" si="15"/>
        <v>Build 2-3</v>
      </c>
      <c r="L35" s="102"/>
      <c r="M35" s="99"/>
      <c r="N35" s="103">
        <f>VLOOKUP(K35,ATP_Conditions!M:N,2,FALSE)</f>
        <v>620</v>
      </c>
      <c r="O35" s="31">
        <f>SUM(T35,W35,Z35,AC35,AF35,AI35,AL35,AO35)+ATP_Conditions!$C$7</f>
        <v>50</v>
      </c>
      <c r="P35" s="32">
        <f ca="1">SUM(U35,X35,AA35,AD35,AG35,AJ35,AM35,AP35)</f>
        <v>294</v>
      </c>
      <c r="Q35" s="91">
        <f t="shared" si="3"/>
        <v>-570</v>
      </c>
      <c r="R35" s="92">
        <f t="shared" ca="1" si="4"/>
        <v>-326</v>
      </c>
      <c r="S35" s="104">
        <f t="shared" si="5"/>
        <v>50</v>
      </c>
      <c r="T35" s="125">
        <v>50</v>
      </c>
      <c r="U35" s="94" cm="1">
        <f t="array" aca="1" ref="U35" ca="1">IF(T$3="None",0,(INDIRECT("TABLE_WTL[@[" &amp; U$4 &amp; "]]")))</f>
        <v>0</v>
      </c>
      <c r="V35" s="104">
        <f t="shared" si="6"/>
        <v>0</v>
      </c>
      <c r="W35" s="125">
        <v>0</v>
      </c>
      <c r="X35" s="94" cm="1">
        <f t="array" aca="1" ref="X35" ca="1">IF(W$3="None",0,(INDIRECT("TABLE_WTL[@[" &amp; X$4 &amp; "]]")))</f>
        <v>0</v>
      </c>
      <c r="Y35" s="104">
        <f t="shared" si="7"/>
        <v>0</v>
      </c>
      <c r="Z35" s="125">
        <v>0</v>
      </c>
      <c r="AA35" s="94" cm="1">
        <f t="array" aca="1" ref="AA35" ca="1">IF(Z$3="None",0,(INDIRECT("TABLE_WTL[@[" &amp; AA$4 &amp; "]]")))</f>
        <v>144</v>
      </c>
      <c r="AB35" s="104">
        <f t="shared" si="8"/>
        <v>0</v>
      </c>
      <c r="AC35" s="125">
        <v>0</v>
      </c>
      <c r="AD35" s="94" cm="1">
        <f t="array" aca="1" ref="AD35" ca="1">IF(AC$3="None",0,(INDIRECT("TABLE_WTL[@[" &amp; AD$4 &amp; "]]")))</f>
        <v>150</v>
      </c>
      <c r="AE35" s="104">
        <f t="shared" si="9"/>
        <v>0</v>
      </c>
      <c r="AF35" s="125">
        <v>0</v>
      </c>
      <c r="AG35" s="94" cm="1">
        <f t="array" aca="1" ref="AG35" ca="1">IF(AF$3="None",0,(INDIRECT("TABLE_WTL[@[" &amp; AG$4 &amp; "]]")))</f>
        <v>0</v>
      </c>
      <c r="AH35" s="104">
        <f t="shared" si="10"/>
        <v>0</v>
      </c>
      <c r="AI35" s="125">
        <v>0</v>
      </c>
      <c r="AJ35" s="94" cm="1">
        <f t="array" aca="1" ref="AJ35" ca="1">IF(AI$3="None",0,(INDIRECT("TABLE_WTL[@[" &amp; AJ$4 &amp; "]]")))</f>
        <v>0</v>
      </c>
      <c r="AK35" s="104">
        <f t="shared" si="11"/>
        <v>0</v>
      </c>
      <c r="AL35" s="125">
        <v>0</v>
      </c>
      <c r="AM35" s="94" cm="1">
        <f t="array" aca="1" ref="AM35" ca="1">IF(AL$3="None",0,(INDIRECT("TABLE_WTL[@[" &amp; AM$4 &amp; "]]")))</f>
        <v>0</v>
      </c>
      <c r="AN35" s="104">
        <f t="shared" si="12"/>
        <v>0</v>
      </c>
      <c r="AO35" s="125">
        <v>0</v>
      </c>
      <c r="AP35" s="94" cm="1">
        <f t="array" aca="1" ref="AP35" ca="1">IF(AO$3="None",0,(INDIRECT("TABLE_WTL[@[" &amp; AP$4 &amp; "]]")))</f>
        <v>0</v>
      </c>
      <c r="AQ35" s="105"/>
      <c r="AR35" s="128"/>
      <c r="AS35" s="132"/>
      <c r="AT35" s="132"/>
      <c r="AU35" s="132"/>
      <c r="AV35" s="132"/>
      <c r="AW35" s="132"/>
      <c r="AX35" s="133"/>
      <c r="AY35" s="105"/>
      <c r="AZ35" s="148"/>
      <c r="BA35" s="63"/>
      <c r="BB35" s="141"/>
      <c r="BC35" s="142"/>
      <c r="BD35" s="142"/>
      <c r="BE35" s="142"/>
      <c r="BF35" s="142"/>
      <c r="BG35" s="142"/>
      <c r="BH35" s="142"/>
      <c r="BI35" s="143"/>
      <c r="BJ35" s="63"/>
      <c r="BK35" s="96">
        <f>N35/ATP_Conditions!$C$8</f>
        <v>8.8571428571428577</v>
      </c>
    </row>
    <row r="36" spans="1:63" ht="15" thickBot="1" x14ac:dyDescent="0.4">
      <c r="A36" s="31">
        <f t="shared" si="13"/>
        <v>32</v>
      </c>
      <c r="B36" s="97">
        <f t="shared" si="0"/>
        <v>32</v>
      </c>
      <c r="C36" s="98">
        <f t="shared" si="14"/>
        <v>46237</v>
      </c>
      <c r="D36" s="99" t="str">
        <f t="shared" si="1"/>
        <v>32-2026</v>
      </c>
      <c r="E36" s="100" t="str">
        <f>_xlfn.IFNA(VLOOKUP(D36,Race_Calendar!D:F,2,FALSE),"-")</f>
        <v>-</v>
      </c>
      <c r="F36" s="97" t="str">
        <f>_xlfn.IFNA(VLOOKUP($D36,Race_Calendar!$D:$F,3,FALSE),"-")</f>
        <v>-</v>
      </c>
      <c r="G36" s="245" t="str">
        <f>_xlfn.IFNA(VLOOKUP(D36,Race_Calendar!D:H,4,FALSE),"-")</f>
        <v>-</v>
      </c>
      <c r="H36" s="101"/>
      <c r="I36" s="121" t="s">
        <v>74</v>
      </c>
      <c r="J36" s="124" t="s">
        <v>102</v>
      </c>
      <c r="K36" s="123" t="str">
        <f t="shared" si="15"/>
        <v>Build 2-4</v>
      </c>
      <c r="L36" s="102"/>
      <c r="M36" s="99"/>
      <c r="N36" s="103">
        <f>VLOOKUP(K36,ATP_Conditions!M:N,2,FALSE)</f>
        <v>360</v>
      </c>
      <c r="O36" s="115">
        <f>SUM(T36,W36,Z36,AC36,AF36,AI36,AL36,AO36)+ATP_Conditions!$C$7</f>
        <v>50</v>
      </c>
      <c r="P36" s="32">
        <f t="shared" ca="1" si="2"/>
        <v>150</v>
      </c>
      <c r="Q36" s="91">
        <f t="shared" si="3"/>
        <v>-310</v>
      </c>
      <c r="R36" s="92">
        <f t="shared" ca="1" si="4"/>
        <v>-210</v>
      </c>
      <c r="S36" s="104">
        <f t="shared" si="5"/>
        <v>50</v>
      </c>
      <c r="T36" s="125">
        <v>50</v>
      </c>
      <c r="U36" s="94" cm="1">
        <f t="array" aca="1" ref="U36" ca="1">IF(T$3="None",0,(INDIRECT("TABLE_WTL[@[" &amp; U$4 &amp; "]]")))</f>
        <v>0</v>
      </c>
      <c r="V36" s="104">
        <f t="shared" si="6"/>
        <v>0</v>
      </c>
      <c r="W36" s="125">
        <v>0</v>
      </c>
      <c r="X36" s="94" cm="1">
        <f t="array" aca="1" ref="X36" ca="1">IF(W$3="None",0,(INDIRECT("TABLE_WTL[@[" &amp; X$4 &amp; "]]")))</f>
        <v>0</v>
      </c>
      <c r="Y36" s="104">
        <f t="shared" si="7"/>
        <v>0</v>
      </c>
      <c r="Z36" s="125">
        <v>0</v>
      </c>
      <c r="AA36" s="94" cm="1">
        <f t="array" aca="1" ref="AA36" ca="1">IF(Z$3="None",0,(INDIRECT("TABLE_WTL[@[" &amp; AA$4 &amp; "]]")))</f>
        <v>0</v>
      </c>
      <c r="AB36" s="104">
        <f t="shared" si="8"/>
        <v>0</v>
      </c>
      <c r="AC36" s="125">
        <v>0</v>
      </c>
      <c r="AD36" s="94" cm="1">
        <f t="array" aca="1" ref="AD36" ca="1">IF(AC$3="None",0,(INDIRECT("TABLE_WTL[@[" &amp; AD$4 &amp; "]]")))</f>
        <v>150</v>
      </c>
      <c r="AE36" s="104">
        <f t="shared" si="9"/>
        <v>0</v>
      </c>
      <c r="AF36" s="125">
        <v>0</v>
      </c>
      <c r="AG36" s="94" cm="1">
        <f t="array" aca="1" ref="AG36" ca="1">IF(AF$3="None",0,(INDIRECT("TABLE_WTL[@[" &amp; AG$4 &amp; "]]")))</f>
        <v>0</v>
      </c>
      <c r="AH36" s="104">
        <f t="shared" si="10"/>
        <v>0</v>
      </c>
      <c r="AI36" s="125">
        <v>0</v>
      </c>
      <c r="AJ36" s="94" cm="1">
        <f t="array" aca="1" ref="AJ36" ca="1">IF(AI$3="None",0,(INDIRECT("TABLE_WTL[@[" &amp; AJ$4 &amp; "]]")))</f>
        <v>0</v>
      </c>
      <c r="AK36" s="104">
        <f t="shared" si="11"/>
        <v>0</v>
      </c>
      <c r="AL36" s="125">
        <v>0</v>
      </c>
      <c r="AM36" s="94" cm="1">
        <f t="array" aca="1" ref="AM36" ca="1">IF(AL$3="None",0,(INDIRECT("TABLE_WTL[@[" &amp; AM$4 &amp; "]]")))</f>
        <v>0</v>
      </c>
      <c r="AN36" s="104">
        <f t="shared" si="12"/>
        <v>0</v>
      </c>
      <c r="AO36" s="125">
        <v>0</v>
      </c>
      <c r="AP36" s="94" cm="1">
        <f t="array" aca="1" ref="AP36" ca="1">IF(AO$3="None",0,(INDIRECT("TABLE_WTL[@[" &amp; AP$4 &amp; "]]")))</f>
        <v>0</v>
      </c>
      <c r="AQ36" s="105"/>
      <c r="AR36" s="128"/>
      <c r="AS36" s="132"/>
      <c r="AT36" s="132"/>
      <c r="AU36" s="132"/>
      <c r="AV36" s="132"/>
      <c r="AW36" s="132"/>
      <c r="AX36" s="133"/>
      <c r="AY36" s="105"/>
      <c r="AZ36" s="148"/>
      <c r="BA36" s="63"/>
      <c r="BB36" s="141"/>
      <c r="BC36" s="142"/>
      <c r="BD36" s="142"/>
      <c r="BE36" s="142"/>
      <c r="BF36" s="142"/>
      <c r="BG36" s="142"/>
      <c r="BH36" s="142"/>
      <c r="BI36" s="143"/>
      <c r="BJ36" s="63"/>
      <c r="BK36" s="96">
        <f>N36/ATP_Conditions!$C$8</f>
        <v>5.1428571428571432</v>
      </c>
    </row>
    <row r="37" spans="1:63" ht="15" thickBot="1" x14ac:dyDescent="0.4">
      <c r="A37" s="31">
        <f t="shared" si="13"/>
        <v>33</v>
      </c>
      <c r="B37" s="97">
        <f t="shared" si="0"/>
        <v>33</v>
      </c>
      <c r="C37" s="98">
        <f t="shared" si="14"/>
        <v>46244</v>
      </c>
      <c r="D37" s="99" t="str">
        <f t="shared" si="1"/>
        <v>33-2026</v>
      </c>
      <c r="E37" s="100" t="str">
        <f>_xlfn.IFNA(VLOOKUP(D37,Race_Calendar!D:F,2,FALSE),"-")</f>
        <v>-</v>
      </c>
      <c r="F37" s="97" t="str">
        <f>_xlfn.IFNA(VLOOKUP($D37,Race_Calendar!$D:$F,3,FALSE),"-")</f>
        <v>-</v>
      </c>
      <c r="G37" s="245" t="str">
        <f>_xlfn.IFNA(VLOOKUP(D37,Race_Calendar!D:H,4,FALSE),"-")</f>
        <v>-</v>
      </c>
      <c r="H37" s="101"/>
      <c r="I37" s="121" t="s">
        <v>4</v>
      </c>
      <c r="J37" s="124" t="s">
        <v>99</v>
      </c>
      <c r="K37" s="123" t="str">
        <f t="shared" si="15"/>
        <v>Peak-1</v>
      </c>
      <c r="L37" s="102"/>
      <c r="M37" s="99"/>
      <c r="N37" s="103">
        <f>VLOOKUP(K37,ATP_Conditions!M:N,2,FALSE)</f>
        <v>440</v>
      </c>
      <c r="O37" s="31">
        <f>SUM(T37,W37,Z37,AC37,AF37,AI37,AL37,AO37)+ATP_Conditions!$C$7</f>
        <v>50</v>
      </c>
      <c r="P37" s="32">
        <f t="shared" ref="P37:P57" ca="1" si="16">SUM(U37,X37,AA37,AD37,AG37,AJ37,AM37,AP37)</f>
        <v>150</v>
      </c>
      <c r="Q37" s="91">
        <f t="shared" si="3"/>
        <v>-390</v>
      </c>
      <c r="R37" s="92">
        <f t="shared" ca="1" si="4"/>
        <v>-290</v>
      </c>
      <c r="S37" s="104">
        <f t="shared" si="5"/>
        <v>50</v>
      </c>
      <c r="T37" s="125">
        <v>50</v>
      </c>
      <c r="U37" s="94" cm="1">
        <f t="array" aca="1" ref="U37" ca="1">IF(T$3="None",0,(INDIRECT("TABLE_WTL[@[" &amp; U$4 &amp; "]]")))</f>
        <v>0</v>
      </c>
      <c r="V37" s="104">
        <f t="shared" si="6"/>
        <v>0</v>
      </c>
      <c r="W37" s="125">
        <v>0</v>
      </c>
      <c r="X37" s="94" cm="1">
        <f t="array" aca="1" ref="X37" ca="1">IF(W$3="None",0,(INDIRECT("TABLE_WTL[@[" &amp; X$4 &amp; "]]")))</f>
        <v>0</v>
      </c>
      <c r="Y37" s="104">
        <f t="shared" si="7"/>
        <v>0</v>
      </c>
      <c r="Z37" s="125">
        <v>0</v>
      </c>
      <c r="AA37" s="94" cm="1">
        <f t="array" aca="1" ref="AA37" ca="1">IF(Z$3="None",0,(INDIRECT("TABLE_WTL[@[" &amp; AA$4 &amp; "]]")))</f>
        <v>0</v>
      </c>
      <c r="AB37" s="104">
        <f t="shared" si="8"/>
        <v>0</v>
      </c>
      <c r="AC37" s="125">
        <v>0</v>
      </c>
      <c r="AD37" s="94" cm="1">
        <f t="array" aca="1" ref="AD37" ca="1">IF(AC$3="None",0,(INDIRECT("TABLE_WTL[@[" &amp; AD$4 &amp; "]]")))</f>
        <v>150</v>
      </c>
      <c r="AE37" s="104">
        <f t="shared" si="9"/>
        <v>0</v>
      </c>
      <c r="AF37" s="125">
        <v>0</v>
      </c>
      <c r="AG37" s="94" cm="1">
        <f t="array" aca="1" ref="AG37" ca="1">IF(AF$3="None",0,(INDIRECT("TABLE_WTL[@[" &amp; AG$4 &amp; "]]")))</f>
        <v>0</v>
      </c>
      <c r="AH37" s="104">
        <f t="shared" si="10"/>
        <v>0</v>
      </c>
      <c r="AI37" s="125">
        <v>0</v>
      </c>
      <c r="AJ37" s="94" cm="1">
        <f t="array" aca="1" ref="AJ37" ca="1">IF(AI$3="None",0,(INDIRECT("TABLE_WTL[@[" &amp; AJ$4 &amp; "]]")))</f>
        <v>0</v>
      </c>
      <c r="AK37" s="104">
        <f t="shared" si="11"/>
        <v>0</v>
      </c>
      <c r="AL37" s="125">
        <v>0</v>
      </c>
      <c r="AM37" s="94" cm="1">
        <f t="array" aca="1" ref="AM37" ca="1">IF(AL$3="None",0,(INDIRECT("TABLE_WTL[@[" &amp; AM$4 &amp; "]]")))</f>
        <v>0</v>
      </c>
      <c r="AN37" s="104">
        <f t="shared" si="12"/>
        <v>0</v>
      </c>
      <c r="AO37" s="125">
        <v>0</v>
      </c>
      <c r="AP37" s="94" cm="1">
        <f t="array" aca="1" ref="AP37" ca="1">IF(AO$3="None",0,(INDIRECT("TABLE_WTL[@[" &amp; AP$4 &amp; "]]")))</f>
        <v>0</v>
      </c>
      <c r="AQ37" s="105"/>
      <c r="AR37" s="128"/>
      <c r="AS37" s="132"/>
      <c r="AT37" s="132"/>
      <c r="AU37" s="132"/>
      <c r="AV37" s="132"/>
      <c r="AW37" s="132"/>
      <c r="AX37" s="133"/>
      <c r="AY37" s="105"/>
      <c r="AZ37" s="148"/>
      <c r="BA37" s="63"/>
      <c r="BB37" s="141"/>
      <c r="BC37" s="142"/>
      <c r="BD37" s="142"/>
      <c r="BE37" s="142"/>
      <c r="BF37" s="142"/>
      <c r="BG37" s="142"/>
      <c r="BH37" s="142"/>
      <c r="BI37" s="143"/>
      <c r="BJ37" s="63"/>
      <c r="BK37" s="96">
        <f>N37/ATP_Conditions!$C$8</f>
        <v>6.2857142857142856</v>
      </c>
    </row>
    <row r="38" spans="1:63" ht="15" thickBot="1" x14ac:dyDescent="0.4">
      <c r="A38" s="31">
        <f t="shared" si="13"/>
        <v>34</v>
      </c>
      <c r="B38" s="97">
        <f t="shared" si="0"/>
        <v>34</v>
      </c>
      <c r="C38" s="98">
        <f t="shared" si="14"/>
        <v>46251</v>
      </c>
      <c r="D38" s="99" t="str">
        <f t="shared" si="1"/>
        <v>34-2026</v>
      </c>
      <c r="E38" s="100" t="str">
        <f>_xlfn.IFNA(VLOOKUP(D38,Race_Calendar!D:F,2,FALSE),"-")</f>
        <v>De 42e editie Kwart(je) &amp; Trio Triathlon Anna Paulowna</v>
      </c>
      <c r="F38" s="97" t="str">
        <f>_xlfn.IFNA(VLOOKUP($D38,Race_Calendar!$D:$F,3,FALSE),"-")</f>
        <v>B</v>
      </c>
      <c r="G38" s="245">
        <f>_xlfn.IFNA(VLOOKUP(D38,Race_Calendar!D:H,4,FALSE),"-")</f>
        <v>46256</v>
      </c>
      <c r="H38" s="101"/>
      <c r="I38" s="121" t="s">
        <v>4</v>
      </c>
      <c r="J38" s="124">
        <v>2</v>
      </c>
      <c r="K38" s="123" t="str">
        <f t="shared" si="15"/>
        <v>Peak-2</v>
      </c>
      <c r="L38" s="102"/>
      <c r="M38" s="99"/>
      <c r="N38" s="103">
        <f>VLOOKUP(K38,ATP_Conditions!M:N,2,FALSE)</f>
        <v>360</v>
      </c>
      <c r="O38" s="31">
        <f>SUM(T38,W38,Z38,AC38,AF38,AI38,AL38,AO38)+ATP_Conditions!$C$7</f>
        <v>50</v>
      </c>
      <c r="P38" s="32">
        <f t="shared" ca="1" si="16"/>
        <v>150</v>
      </c>
      <c r="Q38" s="91">
        <f t="shared" ref="Q38:Q57" si="17">O38-N38</f>
        <v>-310</v>
      </c>
      <c r="R38" s="92">
        <f t="shared" ca="1" si="4"/>
        <v>-210</v>
      </c>
      <c r="S38" s="104">
        <f t="shared" si="5"/>
        <v>50</v>
      </c>
      <c r="T38" s="125">
        <v>50</v>
      </c>
      <c r="U38" s="94" cm="1">
        <f t="array" aca="1" ref="U38" ca="1">IF(T$3="None",0,(INDIRECT("TABLE_WTL[@[" &amp; U$4 &amp; "]]")))</f>
        <v>0</v>
      </c>
      <c r="V38" s="104">
        <f t="shared" si="6"/>
        <v>0</v>
      </c>
      <c r="W38" s="125">
        <v>0</v>
      </c>
      <c r="X38" s="94" cm="1">
        <f t="array" aca="1" ref="X38" ca="1">IF(W$3="None",0,(INDIRECT("TABLE_WTL[@[" &amp; X$4 &amp; "]]")))</f>
        <v>0</v>
      </c>
      <c r="Y38" s="104">
        <f t="shared" si="7"/>
        <v>0</v>
      </c>
      <c r="Z38" s="125">
        <v>0</v>
      </c>
      <c r="AA38" s="94" cm="1">
        <f t="array" aca="1" ref="AA38" ca="1">IF(Z$3="None",0,(INDIRECT("TABLE_WTL[@[" &amp; AA$4 &amp; "]]")))</f>
        <v>0</v>
      </c>
      <c r="AB38" s="104">
        <f t="shared" si="8"/>
        <v>0</v>
      </c>
      <c r="AC38" s="125">
        <v>0</v>
      </c>
      <c r="AD38" s="94" cm="1">
        <f t="array" aca="1" ref="AD38" ca="1">IF(AC$3="None",0,(INDIRECT("TABLE_WTL[@[" &amp; AD$4 &amp; "]]")))</f>
        <v>150</v>
      </c>
      <c r="AE38" s="104">
        <f t="shared" si="9"/>
        <v>0</v>
      </c>
      <c r="AF38" s="125">
        <v>0</v>
      </c>
      <c r="AG38" s="94" cm="1">
        <f t="array" aca="1" ref="AG38" ca="1">IF(AF$3="None",0,(INDIRECT("TABLE_WTL[@[" &amp; AG$4 &amp; "]]")))</f>
        <v>0</v>
      </c>
      <c r="AH38" s="104">
        <f t="shared" si="10"/>
        <v>0</v>
      </c>
      <c r="AI38" s="125">
        <v>0</v>
      </c>
      <c r="AJ38" s="94" cm="1">
        <f t="array" aca="1" ref="AJ38" ca="1">IF(AI$3="None",0,(INDIRECT("TABLE_WTL[@[" &amp; AJ$4 &amp; "]]")))</f>
        <v>0</v>
      </c>
      <c r="AK38" s="104">
        <f t="shared" si="11"/>
        <v>0</v>
      </c>
      <c r="AL38" s="125">
        <v>0</v>
      </c>
      <c r="AM38" s="94" cm="1">
        <f t="array" aca="1" ref="AM38" ca="1">IF(AL$3="None",0,(INDIRECT("TABLE_WTL[@[" &amp; AM$4 &amp; "]]")))</f>
        <v>0</v>
      </c>
      <c r="AN38" s="104">
        <f t="shared" si="12"/>
        <v>0</v>
      </c>
      <c r="AO38" s="125">
        <v>0</v>
      </c>
      <c r="AP38" s="94" cm="1">
        <f t="array" aca="1" ref="AP38" ca="1">IF(AO$3="None",0,(INDIRECT("TABLE_WTL[@[" &amp; AP$4 &amp; "]]")))</f>
        <v>0</v>
      </c>
      <c r="AQ38" s="105"/>
      <c r="AR38" s="128"/>
      <c r="AS38" s="132"/>
      <c r="AT38" s="132"/>
      <c r="AU38" s="132"/>
      <c r="AV38" s="132"/>
      <c r="AW38" s="132"/>
      <c r="AX38" s="133"/>
      <c r="AY38" s="105"/>
      <c r="AZ38" s="148"/>
      <c r="BA38" s="63"/>
      <c r="BB38" s="141"/>
      <c r="BC38" s="142"/>
      <c r="BD38" s="142"/>
      <c r="BE38" s="142"/>
      <c r="BF38" s="142"/>
      <c r="BG38" s="142"/>
      <c r="BH38" s="142"/>
      <c r="BI38" s="143"/>
      <c r="BJ38" s="63"/>
      <c r="BK38" s="96">
        <f>N38/ATP_Conditions!$C$8</f>
        <v>5.1428571428571432</v>
      </c>
    </row>
    <row r="39" spans="1:63" ht="15" thickBot="1" x14ac:dyDescent="0.4">
      <c r="A39" s="31">
        <f t="shared" si="13"/>
        <v>35</v>
      </c>
      <c r="B39" s="97">
        <f t="shared" si="0"/>
        <v>35</v>
      </c>
      <c r="C39" s="98">
        <f t="shared" si="14"/>
        <v>46258</v>
      </c>
      <c r="D39" s="99" t="str">
        <f t="shared" si="1"/>
        <v>35-2026</v>
      </c>
      <c r="E39" s="100" t="str">
        <f>_xlfn.IFNA(VLOOKUP(D39,Race_Calendar!D:F,2,FALSE),"-")</f>
        <v>Crostriatlon Renkum (Rijntocht)</v>
      </c>
      <c r="F39" s="97" t="str">
        <f>_xlfn.IFNA(VLOOKUP($D39,Race_Calendar!$D:$F,3,FALSE),"-")</f>
        <v>A</v>
      </c>
      <c r="G39" s="245">
        <f>_xlfn.IFNA(VLOOKUP(D39,Race_Calendar!D:H,4,FALSE),"-")</f>
        <v>46263</v>
      </c>
      <c r="H39" s="101"/>
      <c r="I39" s="121" t="s">
        <v>1</v>
      </c>
      <c r="J39" s="124"/>
      <c r="K39" s="123" t="str">
        <f t="shared" si="15"/>
        <v>Race</v>
      </c>
      <c r="L39" s="102"/>
      <c r="M39" s="99"/>
      <c r="N39" s="103">
        <f>VLOOKUP(K39,ATP_Conditions!M:N,2,FALSE)</f>
        <v>360</v>
      </c>
      <c r="O39" s="31">
        <f>SUM(T39,W39,Z39,AC39,AF39,AI39,AL39,AO39)+ATP_Conditions!$C$7</f>
        <v>50</v>
      </c>
      <c r="P39" s="32">
        <f t="shared" ca="1" si="16"/>
        <v>150</v>
      </c>
      <c r="Q39" s="91">
        <f t="shared" si="17"/>
        <v>-310</v>
      </c>
      <c r="R39" s="92">
        <f t="shared" ca="1" si="4"/>
        <v>-210</v>
      </c>
      <c r="S39" s="104">
        <f t="shared" si="5"/>
        <v>50</v>
      </c>
      <c r="T39" s="125">
        <v>50</v>
      </c>
      <c r="U39" s="94" cm="1">
        <f t="array" aca="1" ref="U39" ca="1">IF(T$3="None",0,(INDIRECT("TABLE_WTL[@[" &amp; U$4 &amp; "]]")))</f>
        <v>0</v>
      </c>
      <c r="V39" s="104">
        <f t="shared" si="6"/>
        <v>0</v>
      </c>
      <c r="W39" s="125">
        <v>0</v>
      </c>
      <c r="X39" s="94" cm="1">
        <f t="array" aca="1" ref="X39" ca="1">IF(W$3="None",0,(INDIRECT("TABLE_WTL[@[" &amp; X$4 &amp; "]]")))</f>
        <v>0</v>
      </c>
      <c r="Y39" s="104">
        <f t="shared" si="7"/>
        <v>0</v>
      </c>
      <c r="Z39" s="125">
        <v>0</v>
      </c>
      <c r="AA39" s="94" cm="1">
        <f t="array" aca="1" ref="AA39" ca="1">IF(Z$3="None",0,(INDIRECT("TABLE_WTL[@[" &amp; AA$4 &amp; "]]")))</f>
        <v>0</v>
      </c>
      <c r="AB39" s="104">
        <f t="shared" si="8"/>
        <v>0</v>
      </c>
      <c r="AC39" s="125">
        <v>0</v>
      </c>
      <c r="AD39" s="94" cm="1">
        <f t="array" aca="1" ref="AD39" ca="1">IF(AC$3="None",0,(INDIRECT("TABLE_WTL[@[" &amp; AD$4 &amp; "]]")))</f>
        <v>150</v>
      </c>
      <c r="AE39" s="104">
        <f t="shared" si="9"/>
        <v>0</v>
      </c>
      <c r="AF39" s="125">
        <v>0</v>
      </c>
      <c r="AG39" s="94" cm="1">
        <f t="array" aca="1" ref="AG39" ca="1">IF(AF$3="None",0,(INDIRECT("TABLE_WTL[@[" &amp; AG$4 &amp; "]]")))</f>
        <v>0</v>
      </c>
      <c r="AH39" s="104">
        <f t="shared" si="10"/>
        <v>0</v>
      </c>
      <c r="AI39" s="125">
        <v>0</v>
      </c>
      <c r="AJ39" s="94" cm="1">
        <f t="array" aca="1" ref="AJ39" ca="1">IF(AI$3="None",0,(INDIRECT("TABLE_WTL[@[" &amp; AJ$4 &amp; "]]")))</f>
        <v>0</v>
      </c>
      <c r="AK39" s="104">
        <f t="shared" si="11"/>
        <v>0</v>
      </c>
      <c r="AL39" s="125">
        <v>0</v>
      </c>
      <c r="AM39" s="94" cm="1">
        <f t="array" aca="1" ref="AM39" ca="1">IF(AL$3="None",0,(INDIRECT("TABLE_WTL[@[" &amp; AM$4 &amp; "]]")))</f>
        <v>0</v>
      </c>
      <c r="AN39" s="104">
        <f t="shared" si="12"/>
        <v>0</v>
      </c>
      <c r="AO39" s="125">
        <v>0</v>
      </c>
      <c r="AP39" s="94" cm="1">
        <f t="array" aca="1" ref="AP39" ca="1">IF(AO$3="None",0,(INDIRECT("TABLE_WTL[@[" &amp; AP$4 &amp; "]]")))</f>
        <v>0</v>
      </c>
      <c r="AQ39" s="105"/>
      <c r="AR39" s="128"/>
      <c r="AS39" s="132"/>
      <c r="AT39" s="132"/>
      <c r="AU39" s="132"/>
      <c r="AV39" s="132"/>
      <c r="AW39" s="132"/>
      <c r="AX39" s="133"/>
      <c r="AY39" s="105"/>
      <c r="AZ39" s="148"/>
      <c r="BA39" s="63"/>
      <c r="BB39" s="141"/>
      <c r="BC39" s="142"/>
      <c r="BD39" s="142"/>
      <c r="BE39" s="142"/>
      <c r="BF39" s="142"/>
      <c r="BG39" s="142"/>
      <c r="BH39" s="142"/>
      <c r="BI39" s="143"/>
      <c r="BJ39" s="63"/>
      <c r="BK39" s="96">
        <f>N39/ATP_Conditions!$C$8</f>
        <v>5.1428571428571432</v>
      </c>
    </row>
    <row r="40" spans="1:63" ht="15" thickBot="1" x14ac:dyDescent="0.4">
      <c r="A40" s="31">
        <f t="shared" si="13"/>
        <v>36</v>
      </c>
      <c r="B40" s="97">
        <f t="shared" si="0"/>
        <v>36</v>
      </c>
      <c r="C40" s="98">
        <f t="shared" si="14"/>
        <v>46265</v>
      </c>
      <c r="D40" s="99" t="str">
        <f t="shared" si="1"/>
        <v>36-2026</v>
      </c>
      <c r="E40" s="100" t="str">
        <f>_xlfn.IFNA(VLOOKUP(D40,Race_Calendar!D:F,2,FALSE),"-")</f>
        <v>-</v>
      </c>
      <c r="F40" s="97" t="str">
        <f>_xlfn.IFNA(VLOOKUP($D40,Race_Calendar!$D:$F,3,FALSE),"-")</f>
        <v>-</v>
      </c>
      <c r="G40" s="245" t="str">
        <f>_xlfn.IFNA(VLOOKUP(D40,Race_Calendar!D:H,4,FALSE),"-")</f>
        <v>-</v>
      </c>
      <c r="H40" s="101"/>
      <c r="I40" s="121" t="s">
        <v>77</v>
      </c>
      <c r="J40" s="124"/>
      <c r="K40" s="123" t="str">
        <f t="shared" si="15"/>
        <v>Trans</v>
      </c>
      <c r="L40" s="102"/>
      <c r="M40" s="99"/>
      <c r="N40" s="103">
        <f>VLOOKUP(K40,ATP_Conditions!M:N,2,FALSE)</f>
        <v>230</v>
      </c>
      <c r="O40" s="31">
        <f>SUM(T40,W40,Z40,AC40,AF40,AI40,AL40,AO40)+ATP_Conditions!$C$7</f>
        <v>50</v>
      </c>
      <c r="P40" s="32">
        <f t="shared" ca="1" si="16"/>
        <v>150</v>
      </c>
      <c r="Q40" s="91">
        <f t="shared" si="17"/>
        <v>-180</v>
      </c>
      <c r="R40" s="92">
        <f t="shared" ca="1" si="4"/>
        <v>-80</v>
      </c>
      <c r="S40" s="104">
        <f t="shared" si="5"/>
        <v>50</v>
      </c>
      <c r="T40" s="125">
        <v>50</v>
      </c>
      <c r="U40" s="94" cm="1">
        <f t="array" aca="1" ref="U40" ca="1">IF(T$3="None",0,(INDIRECT("TABLE_WTL[@[" &amp; U$4 &amp; "]]")))</f>
        <v>0</v>
      </c>
      <c r="V40" s="104">
        <f t="shared" si="6"/>
        <v>0</v>
      </c>
      <c r="W40" s="125">
        <v>0</v>
      </c>
      <c r="X40" s="94" cm="1">
        <f t="array" aca="1" ref="X40" ca="1">IF(W$3="None",0,(INDIRECT("TABLE_WTL[@[" &amp; X$4 &amp; "]]")))</f>
        <v>0</v>
      </c>
      <c r="Y40" s="104">
        <f t="shared" si="7"/>
        <v>0</v>
      </c>
      <c r="Z40" s="125">
        <v>0</v>
      </c>
      <c r="AA40" s="94" cm="1">
        <f t="array" aca="1" ref="AA40" ca="1">IF(Z$3="None",0,(INDIRECT("TABLE_WTL[@[" &amp; AA$4 &amp; "]]")))</f>
        <v>0</v>
      </c>
      <c r="AB40" s="104">
        <f t="shared" si="8"/>
        <v>0</v>
      </c>
      <c r="AC40" s="125">
        <v>0</v>
      </c>
      <c r="AD40" s="94" cm="1">
        <f t="array" aca="1" ref="AD40" ca="1">IF(AC$3="None",0,(INDIRECT("TABLE_WTL[@[" &amp; AD$4 &amp; "]]")))</f>
        <v>150</v>
      </c>
      <c r="AE40" s="104">
        <f t="shared" si="9"/>
        <v>0</v>
      </c>
      <c r="AF40" s="125">
        <v>0</v>
      </c>
      <c r="AG40" s="94" cm="1">
        <f t="array" aca="1" ref="AG40" ca="1">IF(AF$3="None",0,(INDIRECT("TABLE_WTL[@[" &amp; AG$4 &amp; "]]")))</f>
        <v>0</v>
      </c>
      <c r="AH40" s="104">
        <f t="shared" si="10"/>
        <v>0</v>
      </c>
      <c r="AI40" s="125">
        <v>0</v>
      </c>
      <c r="AJ40" s="94" cm="1">
        <f t="array" aca="1" ref="AJ40" ca="1">IF(AI$3="None",0,(INDIRECT("TABLE_WTL[@[" &amp; AJ$4 &amp; "]]")))</f>
        <v>0</v>
      </c>
      <c r="AK40" s="104">
        <f t="shared" si="11"/>
        <v>0</v>
      </c>
      <c r="AL40" s="125">
        <v>0</v>
      </c>
      <c r="AM40" s="94" cm="1">
        <f t="array" aca="1" ref="AM40" ca="1">IF(AL$3="None",0,(INDIRECT("TABLE_WTL[@[" &amp; AM$4 &amp; "]]")))</f>
        <v>0</v>
      </c>
      <c r="AN40" s="104">
        <f t="shared" si="12"/>
        <v>0</v>
      </c>
      <c r="AO40" s="125">
        <v>0</v>
      </c>
      <c r="AP40" s="94" cm="1">
        <f t="array" aca="1" ref="AP40" ca="1">IF(AO$3="None",0,(INDIRECT("TABLE_WTL[@[" &amp; AP$4 &amp; "]]")))</f>
        <v>0</v>
      </c>
      <c r="AQ40" s="105"/>
      <c r="AR40" s="128"/>
      <c r="AS40" s="132"/>
      <c r="AT40" s="132"/>
      <c r="AU40" s="132"/>
      <c r="AV40" s="132"/>
      <c r="AW40" s="132"/>
      <c r="AX40" s="133"/>
      <c r="AY40" s="105"/>
      <c r="AZ40" s="148"/>
      <c r="BA40" s="63"/>
      <c r="BB40" s="141"/>
      <c r="BC40" s="142"/>
      <c r="BD40" s="142"/>
      <c r="BE40" s="142"/>
      <c r="BF40" s="142"/>
      <c r="BG40" s="142"/>
      <c r="BH40" s="142"/>
      <c r="BI40" s="143"/>
      <c r="BJ40" s="63"/>
      <c r="BK40" s="96">
        <f>N40/ATP_Conditions!$C$8</f>
        <v>3.2857142857142856</v>
      </c>
    </row>
    <row r="41" spans="1:63" ht="15" thickBot="1" x14ac:dyDescent="0.4">
      <c r="A41" s="31">
        <f t="shared" si="13"/>
        <v>37</v>
      </c>
      <c r="B41" s="97">
        <f t="shared" si="0"/>
        <v>37</v>
      </c>
      <c r="C41" s="98">
        <f t="shared" si="14"/>
        <v>46272</v>
      </c>
      <c r="D41" s="99" t="str">
        <f t="shared" si="1"/>
        <v>37-2026</v>
      </c>
      <c r="E41" s="100" t="str">
        <f>_xlfn.IFNA(VLOOKUP(D41,Race_Calendar!D:F,2,FALSE),"-")</f>
        <v>-</v>
      </c>
      <c r="F41" s="97" t="str">
        <f>_xlfn.IFNA(VLOOKUP($D41,Race_Calendar!$D:$F,3,FALSE),"-")</f>
        <v>-</v>
      </c>
      <c r="G41" s="245" t="str">
        <f>_xlfn.IFNA(VLOOKUP(D41,Race_Calendar!D:H,4,FALSE),"-")</f>
        <v>-</v>
      </c>
      <c r="H41" s="101"/>
      <c r="I41" s="121" t="s">
        <v>77</v>
      </c>
      <c r="J41" s="124"/>
      <c r="K41" s="123" t="str">
        <f t="shared" si="15"/>
        <v>Trans</v>
      </c>
      <c r="L41" s="102"/>
      <c r="M41" s="99"/>
      <c r="N41" s="103">
        <f>VLOOKUP(K41,ATP_Conditions!M:N,2,FALSE)</f>
        <v>230</v>
      </c>
      <c r="O41" s="31">
        <f>SUM(T41,W41,Z41,AC41,AF41,AI41,AL41,AO41)+ATP_Conditions!$C$7</f>
        <v>50</v>
      </c>
      <c r="P41" s="32">
        <f t="shared" ca="1" si="16"/>
        <v>0</v>
      </c>
      <c r="Q41" s="91">
        <f t="shared" si="17"/>
        <v>-180</v>
      </c>
      <c r="R41" s="92">
        <f t="shared" ca="1" si="4"/>
        <v>-230</v>
      </c>
      <c r="S41" s="104">
        <f t="shared" si="5"/>
        <v>50</v>
      </c>
      <c r="T41" s="125">
        <v>50</v>
      </c>
      <c r="U41" s="94" cm="1">
        <f t="array" aca="1" ref="U41" ca="1">IF(T$3="None",0,(INDIRECT("TABLE_WTL[@[" &amp; U$4 &amp; "]]")))</f>
        <v>0</v>
      </c>
      <c r="V41" s="104">
        <f t="shared" si="6"/>
        <v>0</v>
      </c>
      <c r="W41" s="125">
        <v>0</v>
      </c>
      <c r="X41" s="94" cm="1">
        <f t="array" aca="1" ref="X41" ca="1">IF(W$3="None",0,(INDIRECT("TABLE_WTL[@[" &amp; X$4 &amp; "]]")))</f>
        <v>0</v>
      </c>
      <c r="Y41" s="104">
        <f t="shared" si="7"/>
        <v>0</v>
      </c>
      <c r="Z41" s="125">
        <v>0</v>
      </c>
      <c r="AA41" s="94" cm="1">
        <f t="array" aca="1" ref="AA41" ca="1">IF(Z$3="None",0,(INDIRECT("TABLE_WTL[@[" &amp; AA$4 &amp; "]]")))</f>
        <v>0</v>
      </c>
      <c r="AB41" s="104">
        <f t="shared" si="8"/>
        <v>0</v>
      </c>
      <c r="AC41" s="125">
        <v>0</v>
      </c>
      <c r="AD41" s="94" cm="1">
        <f t="array" aca="1" ref="AD41" ca="1">IF(AC$3="None",0,(INDIRECT("TABLE_WTL[@[" &amp; AD$4 &amp; "]]")))</f>
        <v>0</v>
      </c>
      <c r="AE41" s="104">
        <f t="shared" si="9"/>
        <v>0</v>
      </c>
      <c r="AF41" s="125">
        <v>0</v>
      </c>
      <c r="AG41" s="94" cm="1">
        <f t="array" aca="1" ref="AG41" ca="1">IF(AF$3="None",0,(INDIRECT("TABLE_WTL[@[" &amp; AG$4 &amp; "]]")))</f>
        <v>0</v>
      </c>
      <c r="AH41" s="104">
        <f t="shared" si="10"/>
        <v>0</v>
      </c>
      <c r="AI41" s="125">
        <v>0</v>
      </c>
      <c r="AJ41" s="94" cm="1">
        <f t="array" aca="1" ref="AJ41" ca="1">IF(AI$3="None",0,(INDIRECT("TABLE_WTL[@[" &amp; AJ$4 &amp; "]]")))</f>
        <v>0</v>
      </c>
      <c r="AK41" s="104">
        <f t="shared" si="11"/>
        <v>0</v>
      </c>
      <c r="AL41" s="125">
        <v>0</v>
      </c>
      <c r="AM41" s="94" cm="1">
        <f t="array" aca="1" ref="AM41" ca="1">IF(AL$3="None",0,(INDIRECT("TABLE_WTL[@[" &amp; AM$4 &amp; "]]")))</f>
        <v>0</v>
      </c>
      <c r="AN41" s="104">
        <f t="shared" si="12"/>
        <v>0</v>
      </c>
      <c r="AO41" s="125">
        <v>0</v>
      </c>
      <c r="AP41" s="94" cm="1">
        <f t="array" aca="1" ref="AP41" ca="1">IF(AO$3="None",0,(INDIRECT("TABLE_WTL[@[" &amp; AP$4 &amp; "]]")))</f>
        <v>0</v>
      </c>
      <c r="AQ41" s="105"/>
      <c r="AR41" s="128"/>
      <c r="AS41" s="132"/>
      <c r="AT41" s="132"/>
      <c r="AU41" s="132"/>
      <c r="AV41" s="132"/>
      <c r="AW41" s="132"/>
      <c r="AX41" s="133"/>
      <c r="AY41" s="105"/>
      <c r="AZ41" s="148"/>
      <c r="BA41" s="63"/>
      <c r="BB41" s="141"/>
      <c r="BC41" s="142"/>
      <c r="BD41" s="142"/>
      <c r="BE41" s="142"/>
      <c r="BF41" s="142"/>
      <c r="BG41" s="142"/>
      <c r="BH41" s="142"/>
      <c r="BI41" s="143"/>
      <c r="BJ41" s="63"/>
      <c r="BK41" s="96">
        <f>N41/ATP_Conditions!$C$8</f>
        <v>3.2857142857142856</v>
      </c>
    </row>
    <row r="42" spans="1:63" ht="15" thickBot="1" x14ac:dyDescent="0.4">
      <c r="A42" s="31">
        <f t="shared" si="13"/>
        <v>38</v>
      </c>
      <c r="B42" s="97">
        <f t="shared" si="0"/>
        <v>38</v>
      </c>
      <c r="C42" s="98">
        <f t="shared" si="14"/>
        <v>46279</v>
      </c>
      <c r="D42" s="99" t="str">
        <f t="shared" si="1"/>
        <v>38-2026</v>
      </c>
      <c r="E42" s="100" t="str">
        <f>_xlfn.IFNA(VLOOKUP(D42,Race_Calendar!D:F,2,FALSE),"-")</f>
        <v>-</v>
      </c>
      <c r="F42" s="97" t="str">
        <f>_xlfn.IFNA(VLOOKUP($D42,Race_Calendar!$D:$F,3,FALSE),"-")</f>
        <v>-</v>
      </c>
      <c r="G42" s="245" t="str">
        <f>_xlfn.IFNA(VLOOKUP(D42,Race_Calendar!D:H,4,FALSE),"-")</f>
        <v>-</v>
      </c>
      <c r="H42" s="101"/>
      <c r="I42" s="121" t="s">
        <v>77</v>
      </c>
      <c r="J42" s="124"/>
      <c r="K42" s="123" t="str">
        <f t="shared" si="15"/>
        <v>Trans</v>
      </c>
      <c r="L42" s="102"/>
      <c r="M42" s="99"/>
      <c r="N42" s="103">
        <f>VLOOKUP(K42,ATP_Conditions!M:N,2,FALSE)</f>
        <v>230</v>
      </c>
      <c r="O42" s="31">
        <f>SUM(T42,W42,Z42,AC42,AF42,AI42,AL42,AO42)+ATP_Conditions!$C$7</f>
        <v>50</v>
      </c>
      <c r="P42" s="32">
        <f t="shared" ca="1" si="16"/>
        <v>0</v>
      </c>
      <c r="Q42" s="91">
        <f t="shared" si="17"/>
        <v>-180</v>
      </c>
      <c r="R42" s="92">
        <f t="shared" ca="1" si="4"/>
        <v>-230</v>
      </c>
      <c r="S42" s="104">
        <f t="shared" si="5"/>
        <v>50</v>
      </c>
      <c r="T42" s="125">
        <v>50</v>
      </c>
      <c r="U42" s="94" cm="1">
        <f t="array" aca="1" ref="U42" ca="1">IF(T$3="None",0,(INDIRECT("TABLE_WTL[@[" &amp; U$4 &amp; "]]")))</f>
        <v>0</v>
      </c>
      <c r="V42" s="104">
        <f t="shared" si="6"/>
        <v>0</v>
      </c>
      <c r="W42" s="125">
        <v>0</v>
      </c>
      <c r="X42" s="94" cm="1">
        <f t="array" aca="1" ref="X42" ca="1">IF(W$3="None",0,(INDIRECT("TABLE_WTL[@[" &amp; X$4 &amp; "]]")))</f>
        <v>0</v>
      </c>
      <c r="Y42" s="104">
        <f t="shared" si="7"/>
        <v>0</v>
      </c>
      <c r="Z42" s="125">
        <v>0</v>
      </c>
      <c r="AA42" s="94" cm="1">
        <f t="array" aca="1" ref="AA42" ca="1">IF(Z$3="None",0,(INDIRECT("TABLE_WTL[@[" &amp; AA$4 &amp; "]]")))</f>
        <v>0</v>
      </c>
      <c r="AB42" s="104">
        <f t="shared" si="8"/>
        <v>0</v>
      </c>
      <c r="AC42" s="125">
        <v>0</v>
      </c>
      <c r="AD42" s="94" cm="1">
        <f t="array" aca="1" ref="AD42" ca="1">IF(AC$3="None",0,(INDIRECT("TABLE_WTL[@[" &amp; AD$4 &amp; "]]")))</f>
        <v>0</v>
      </c>
      <c r="AE42" s="104">
        <f t="shared" si="9"/>
        <v>0</v>
      </c>
      <c r="AF42" s="125">
        <v>0</v>
      </c>
      <c r="AG42" s="94" cm="1">
        <f t="array" aca="1" ref="AG42" ca="1">IF(AF$3="None",0,(INDIRECT("TABLE_WTL[@[" &amp; AG$4 &amp; "]]")))</f>
        <v>0</v>
      </c>
      <c r="AH42" s="104">
        <f t="shared" si="10"/>
        <v>0</v>
      </c>
      <c r="AI42" s="125">
        <v>0</v>
      </c>
      <c r="AJ42" s="94" cm="1">
        <f t="array" aca="1" ref="AJ42" ca="1">IF(AI$3="None",0,(INDIRECT("TABLE_WTL[@[" &amp; AJ$4 &amp; "]]")))</f>
        <v>0</v>
      </c>
      <c r="AK42" s="104">
        <f t="shared" si="11"/>
        <v>0</v>
      </c>
      <c r="AL42" s="125">
        <v>0</v>
      </c>
      <c r="AM42" s="94" cm="1">
        <f t="array" aca="1" ref="AM42" ca="1">IF(AL$3="None",0,(INDIRECT("TABLE_WTL[@[" &amp; AM$4 &amp; "]]")))</f>
        <v>0</v>
      </c>
      <c r="AN42" s="104">
        <f t="shared" si="12"/>
        <v>0</v>
      </c>
      <c r="AO42" s="125">
        <v>0</v>
      </c>
      <c r="AP42" s="94" cm="1">
        <f t="array" aca="1" ref="AP42" ca="1">IF(AO$3="None",0,(INDIRECT("TABLE_WTL[@[" &amp; AP$4 &amp; "]]")))</f>
        <v>0</v>
      </c>
      <c r="AQ42" s="105"/>
      <c r="AR42" s="128"/>
      <c r="AS42" s="132"/>
      <c r="AT42" s="132"/>
      <c r="AU42" s="132"/>
      <c r="AV42" s="132"/>
      <c r="AW42" s="132"/>
      <c r="AX42" s="133"/>
      <c r="AY42" s="105"/>
      <c r="AZ42" s="148"/>
      <c r="BA42" s="63"/>
      <c r="BB42" s="141"/>
      <c r="BC42" s="142"/>
      <c r="BD42" s="142"/>
      <c r="BE42" s="142"/>
      <c r="BF42" s="142"/>
      <c r="BG42" s="142"/>
      <c r="BH42" s="142"/>
      <c r="BI42" s="143"/>
      <c r="BJ42" s="63"/>
      <c r="BK42" s="96">
        <f>N42/ATP_Conditions!$C$8</f>
        <v>3.2857142857142856</v>
      </c>
    </row>
    <row r="43" spans="1:63" ht="15" thickBot="1" x14ac:dyDescent="0.4">
      <c r="A43" s="31">
        <f t="shared" si="13"/>
        <v>39</v>
      </c>
      <c r="B43" s="97">
        <f t="shared" si="0"/>
        <v>39</v>
      </c>
      <c r="C43" s="98">
        <f t="shared" si="14"/>
        <v>46286</v>
      </c>
      <c r="D43" s="99" t="str">
        <f t="shared" si="1"/>
        <v>39-2026</v>
      </c>
      <c r="E43" s="100" t="str">
        <f>_xlfn.IFNA(VLOOKUP(D43,Race_Calendar!D:F,2,FALSE),"-")</f>
        <v>-</v>
      </c>
      <c r="F43" s="97" t="str">
        <f>_xlfn.IFNA(VLOOKUP($D43,Race_Calendar!$D:$F,3,FALSE),"-")</f>
        <v>-</v>
      </c>
      <c r="G43" s="245" t="str">
        <f>_xlfn.IFNA(VLOOKUP(D43,Race_Calendar!D:H,4,FALSE),"-")</f>
        <v>-</v>
      </c>
      <c r="H43" s="101"/>
      <c r="I43" s="121" t="s">
        <v>77</v>
      </c>
      <c r="J43" s="124"/>
      <c r="K43" s="123" t="str">
        <f t="shared" si="15"/>
        <v>Trans</v>
      </c>
      <c r="L43" s="102"/>
      <c r="M43" s="99"/>
      <c r="N43" s="103">
        <f>VLOOKUP(K43,ATP_Conditions!M:N,2,FALSE)</f>
        <v>230</v>
      </c>
      <c r="O43" s="31">
        <f>SUM(T43,W43,Z43,AC43,AF43,AI43,AL43,AO43)+ATP_Conditions!$C$7</f>
        <v>50</v>
      </c>
      <c r="P43" s="32">
        <f t="shared" ca="1" si="16"/>
        <v>0</v>
      </c>
      <c r="Q43" s="91">
        <f t="shared" si="17"/>
        <v>-180</v>
      </c>
      <c r="R43" s="92">
        <f t="shared" ca="1" si="4"/>
        <v>-230</v>
      </c>
      <c r="S43" s="104">
        <f t="shared" si="5"/>
        <v>50</v>
      </c>
      <c r="T43" s="125">
        <v>50</v>
      </c>
      <c r="U43" s="94" cm="1">
        <f t="array" aca="1" ref="U43" ca="1">IF(T$3="None",0,(INDIRECT("TABLE_WTL[@[" &amp; U$4 &amp; "]]")))</f>
        <v>0</v>
      </c>
      <c r="V43" s="104">
        <f t="shared" si="6"/>
        <v>0</v>
      </c>
      <c r="W43" s="125">
        <v>0</v>
      </c>
      <c r="X43" s="94" cm="1">
        <f t="array" aca="1" ref="X43" ca="1">IF(W$3="None",0,(INDIRECT("TABLE_WTL[@[" &amp; X$4 &amp; "]]")))</f>
        <v>0</v>
      </c>
      <c r="Y43" s="104">
        <f t="shared" si="7"/>
        <v>0</v>
      </c>
      <c r="Z43" s="125">
        <v>0</v>
      </c>
      <c r="AA43" s="94" cm="1">
        <f t="array" aca="1" ref="AA43" ca="1">IF(Z$3="None",0,(INDIRECT("TABLE_WTL[@[" &amp; AA$4 &amp; "]]")))</f>
        <v>0</v>
      </c>
      <c r="AB43" s="104">
        <f t="shared" si="8"/>
        <v>0</v>
      </c>
      <c r="AC43" s="125">
        <v>0</v>
      </c>
      <c r="AD43" s="94" cm="1">
        <f t="array" aca="1" ref="AD43" ca="1">IF(AC$3="None",0,(INDIRECT("TABLE_WTL[@[" &amp; AD$4 &amp; "]]")))</f>
        <v>0</v>
      </c>
      <c r="AE43" s="104">
        <f t="shared" si="9"/>
        <v>0</v>
      </c>
      <c r="AF43" s="125">
        <v>0</v>
      </c>
      <c r="AG43" s="94" cm="1">
        <f t="array" aca="1" ref="AG43" ca="1">IF(AF$3="None",0,(INDIRECT("TABLE_WTL[@[" &amp; AG$4 &amp; "]]")))</f>
        <v>0</v>
      </c>
      <c r="AH43" s="104">
        <f t="shared" si="10"/>
        <v>0</v>
      </c>
      <c r="AI43" s="125">
        <v>0</v>
      </c>
      <c r="AJ43" s="94" cm="1">
        <f t="array" aca="1" ref="AJ43" ca="1">IF(AI$3="None",0,(INDIRECT("TABLE_WTL[@[" &amp; AJ$4 &amp; "]]")))</f>
        <v>0</v>
      </c>
      <c r="AK43" s="104">
        <f t="shared" si="11"/>
        <v>0</v>
      </c>
      <c r="AL43" s="125">
        <v>0</v>
      </c>
      <c r="AM43" s="94" cm="1">
        <f t="array" aca="1" ref="AM43" ca="1">IF(AL$3="None",0,(INDIRECT("TABLE_WTL[@[" &amp; AM$4 &amp; "]]")))</f>
        <v>0</v>
      </c>
      <c r="AN43" s="104">
        <f t="shared" si="12"/>
        <v>0</v>
      </c>
      <c r="AO43" s="125">
        <v>0</v>
      </c>
      <c r="AP43" s="94" cm="1">
        <f t="array" aca="1" ref="AP43" ca="1">IF(AO$3="None",0,(INDIRECT("TABLE_WTL[@[" &amp; AP$4 &amp; "]]")))</f>
        <v>0</v>
      </c>
      <c r="AQ43" s="105"/>
      <c r="AR43" s="128"/>
      <c r="AS43" s="132"/>
      <c r="AT43" s="132"/>
      <c r="AU43" s="132"/>
      <c r="AV43" s="132"/>
      <c r="AW43" s="132"/>
      <c r="AX43" s="133"/>
      <c r="AY43" s="105"/>
      <c r="AZ43" s="148"/>
      <c r="BA43" s="63"/>
      <c r="BB43" s="141"/>
      <c r="BC43" s="142"/>
      <c r="BD43" s="142"/>
      <c r="BE43" s="142"/>
      <c r="BF43" s="142"/>
      <c r="BG43" s="142"/>
      <c r="BH43" s="142"/>
      <c r="BI43" s="143"/>
      <c r="BJ43" s="63"/>
      <c r="BK43" s="96">
        <f>N43/ATP_Conditions!$C$8</f>
        <v>3.2857142857142856</v>
      </c>
    </row>
    <row r="44" spans="1:63" ht="15" thickBot="1" x14ac:dyDescent="0.4">
      <c r="A44" s="31">
        <f t="shared" si="13"/>
        <v>40</v>
      </c>
      <c r="B44" s="97">
        <f t="shared" si="0"/>
        <v>40</v>
      </c>
      <c r="C44" s="98">
        <f t="shared" si="14"/>
        <v>46293</v>
      </c>
      <c r="D44" s="99" t="str">
        <f t="shared" si="1"/>
        <v>40-2026</v>
      </c>
      <c r="E44" s="100" t="str">
        <f>_xlfn.IFNA(VLOOKUP(D44,Race_Calendar!D:F,2,FALSE),"-")</f>
        <v>-</v>
      </c>
      <c r="F44" s="97" t="str">
        <f>_xlfn.IFNA(VLOOKUP($D44,Race_Calendar!$D:$F,3,FALSE),"-")</f>
        <v>-</v>
      </c>
      <c r="G44" s="245" t="str">
        <f>_xlfn.IFNA(VLOOKUP(D44,Race_Calendar!D:H,4,FALSE),"-")</f>
        <v>-</v>
      </c>
      <c r="H44" s="101"/>
      <c r="I44" s="121" t="s">
        <v>77</v>
      </c>
      <c r="J44" s="124"/>
      <c r="K44" s="123" t="str">
        <f t="shared" si="15"/>
        <v>Trans</v>
      </c>
      <c r="L44" s="102"/>
      <c r="M44" s="99"/>
      <c r="N44" s="103">
        <f>VLOOKUP(K44,ATP_Conditions!M:N,2,FALSE)</f>
        <v>230</v>
      </c>
      <c r="O44" s="31">
        <f>SUM(T44,W44,Z44,AC44,AF44,AI44,AL44,AO44)+ATP_Conditions!$C$7</f>
        <v>50</v>
      </c>
      <c r="P44" s="32">
        <f t="shared" ca="1" si="16"/>
        <v>0</v>
      </c>
      <c r="Q44" s="91">
        <f t="shared" si="17"/>
        <v>-180</v>
      </c>
      <c r="R44" s="92">
        <f t="shared" ca="1" si="4"/>
        <v>-230</v>
      </c>
      <c r="S44" s="104">
        <f t="shared" si="5"/>
        <v>50</v>
      </c>
      <c r="T44" s="125">
        <v>50</v>
      </c>
      <c r="U44" s="94" cm="1">
        <f t="array" aca="1" ref="U44" ca="1">IF(T$3="None",0,(INDIRECT("TABLE_WTL[@[" &amp; U$4 &amp; "]]")))</f>
        <v>0</v>
      </c>
      <c r="V44" s="104">
        <f t="shared" si="6"/>
        <v>0</v>
      </c>
      <c r="W44" s="125">
        <v>0</v>
      </c>
      <c r="X44" s="94" cm="1">
        <f t="array" aca="1" ref="X44" ca="1">IF(W$3="None",0,(INDIRECT("TABLE_WTL[@[" &amp; X$4 &amp; "]]")))</f>
        <v>0</v>
      </c>
      <c r="Y44" s="104">
        <f t="shared" si="7"/>
        <v>0</v>
      </c>
      <c r="Z44" s="125">
        <v>0</v>
      </c>
      <c r="AA44" s="94" cm="1">
        <f t="array" aca="1" ref="AA44" ca="1">IF(Z$3="None",0,(INDIRECT("TABLE_WTL[@[" &amp; AA$4 &amp; "]]")))</f>
        <v>0</v>
      </c>
      <c r="AB44" s="104">
        <f t="shared" si="8"/>
        <v>0</v>
      </c>
      <c r="AC44" s="125">
        <v>0</v>
      </c>
      <c r="AD44" s="94" cm="1">
        <f t="array" aca="1" ref="AD44" ca="1">IF(AC$3="None",0,(INDIRECT("TABLE_WTL[@[" &amp; AD$4 &amp; "]]")))</f>
        <v>0</v>
      </c>
      <c r="AE44" s="104">
        <f t="shared" si="9"/>
        <v>0</v>
      </c>
      <c r="AF44" s="125">
        <v>0</v>
      </c>
      <c r="AG44" s="94" cm="1">
        <f t="array" aca="1" ref="AG44" ca="1">IF(AF$3="None",0,(INDIRECT("TABLE_WTL[@[" &amp; AG$4 &amp; "]]")))</f>
        <v>0</v>
      </c>
      <c r="AH44" s="104">
        <f t="shared" si="10"/>
        <v>0</v>
      </c>
      <c r="AI44" s="125">
        <v>0</v>
      </c>
      <c r="AJ44" s="94" cm="1">
        <f t="array" aca="1" ref="AJ44" ca="1">IF(AI$3="None",0,(INDIRECT("TABLE_WTL[@[" &amp; AJ$4 &amp; "]]")))</f>
        <v>0</v>
      </c>
      <c r="AK44" s="104">
        <f t="shared" si="11"/>
        <v>0</v>
      </c>
      <c r="AL44" s="125">
        <v>0</v>
      </c>
      <c r="AM44" s="94" cm="1">
        <f t="array" aca="1" ref="AM44" ca="1">IF(AL$3="None",0,(INDIRECT("TABLE_WTL[@[" &amp; AM$4 &amp; "]]")))</f>
        <v>0</v>
      </c>
      <c r="AN44" s="104">
        <f t="shared" si="12"/>
        <v>0</v>
      </c>
      <c r="AO44" s="125">
        <v>0</v>
      </c>
      <c r="AP44" s="94" cm="1">
        <f t="array" aca="1" ref="AP44" ca="1">IF(AO$3="None",0,(INDIRECT("TABLE_WTL[@[" &amp; AP$4 &amp; "]]")))</f>
        <v>0</v>
      </c>
      <c r="AQ44" s="105"/>
      <c r="AR44" s="128"/>
      <c r="AS44" s="132"/>
      <c r="AT44" s="132"/>
      <c r="AU44" s="132"/>
      <c r="AV44" s="132"/>
      <c r="AW44" s="132"/>
      <c r="AX44" s="133"/>
      <c r="AY44" s="105"/>
      <c r="AZ44" s="148"/>
      <c r="BA44" s="63"/>
      <c r="BB44" s="141"/>
      <c r="BC44" s="142"/>
      <c r="BD44" s="142"/>
      <c r="BE44" s="142"/>
      <c r="BF44" s="142"/>
      <c r="BG44" s="142"/>
      <c r="BH44" s="142"/>
      <c r="BI44" s="143"/>
      <c r="BJ44" s="63"/>
      <c r="BK44" s="96">
        <f>N44/ATP_Conditions!$C$8</f>
        <v>3.2857142857142856</v>
      </c>
    </row>
    <row r="45" spans="1:63" ht="15" thickBot="1" x14ac:dyDescent="0.4">
      <c r="A45" s="31">
        <f t="shared" si="13"/>
        <v>41</v>
      </c>
      <c r="B45" s="97">
        <f t="shared" si="0"/>
        <v>41</v>
      </c>
      <c r="C45" s="98">
        <f t="shared" si="14"/>
        <v>46300</v>
      </c>
      <c r="D45" s="99" t="str">
        <f t="shared" si="1"/>
        <v>41-2026</v>
      </c>
      <c r="E45" s="100" t="str">
        <f>_xlfn.IFNA(VLOOKUP(D45,Race_Calendar!D:F,2,FALSE),"-")</f>
        <v>-</v>
      </c>
      <c r="F45" s="97" t="str">
        <f>_xlfn.IFNA(VLOOKUP($D45,Race_Calendar!$D:$F,3,FALSE),"-")</f>
        <v>-</v>
      </c>
      <c r="G45" s="245" t="str">
        <f>_xlfn.IFNA(VLOOKUP(D45,Race_Calendar!D:H,4,FALSE),"-")</f>
        <v>-</v>
      </c>
      <c r="H45" s="101"/>
      <c r="I45" s="121" t="s">
        <v>77</v>
      </c>
      <c r="J45" s="124"/>
      <c r="K45" s="123" t="str">
        <f t="shared" si="15"/>
        <v>Trans</v>
      </c>
      <c r="L45" s="102"/>
      <c r="M45" s="99"/>
      <c r="N45" s="103">
        <f>VLOOKUP(K45,ATP_Conditions!M:N,2,FALSE)</f>
        <v>230</v>
      </c>
      <c r="O45" s="31">
        <f>SUM(T45,W45,Z45,AC45,AF45,AI45,AL45,AO45)+ATP_Conditions!$C$7</f>
        <v>50</v>
      </c>
      <c r="P45" s="32">
        <f t="shared" ca="1" si="16"/>
        <v>0</v>
      </c>
      <c r="Q45" s="91">
        <f t="shared" si="17"/>
        <v>-180</v>
      </c>
      <c r="R45" s="92">
        <f t="shared" ca="1" si="4"/>
        <v>-230</v>
      </c>
      <c r="S45" s="104">
        <f t="shared" si="5"/>
        <v>50</v>
      </c>
      <c r="T45" s="125">
        <v>50</v>
      </c>
      <c r="U45" s="94" cm="1">
        <f t="array" aca="1" ref="U45" ca="1">IF(T$3="None",0,(INDIRECT("TABLE_WTL[@[" &amp; U$4 &amp; "]]")))</f>
        <v>0</v>
      </c>
      <c r="V45" s="104">
        <f t="shared" si="6"/>
        <v>0</v>
      </c>
      <c r="W45" s="125">
        <v>0</v>
      </c>
      <c r="X45" s="94" cm="1">
        <f t="array" aca="1" ref="X45" ca="1">IF(W$3="None",0,(INDIRECT("TABLE_WTL[@[" &amp; X$4 &amp; "]]")))</f>
        <v>0</v>
      </c>
      <c r="Y45" s="104">
        <f t="shared" si="7"/>
        <v>0</v>
      </c>
      <c r="Z45" s="125">
        <v>0</v>
      </c>
      <c r="AA45" s="94" cm="1">
        <f t="array" aca="1" ref="AA45" ca="1">IF(Z$3="None",0,(INDIRECT("TABLE_WTL[@[" &amp; AA$4 &amp; "]]")))</f>
        <v>0</v>
      </c>
      <c r="AB45" s="104">
        <f t="shared" si="8"/>
        <v>0</v>
      </c>
      <c r="AC45" s="125">
        <v>0</v>
      </c>
      <c r="AD45" s="94" cm="1">
        <f t="array" aca="1" ref="AD45" ca="1">IF(AC$3="None",0,(INDIRECT("TABLE_WTL[@[" &amp; AD$4 &amp; "]]")))</f>
        <v>0</v>
      </c>
      <c r="AE45" s="104">
        <f t="shared" si="9"/>
        <v>0</v>
      </c>
      <c r="AF45" s="125">
        <v>0</v>
      </c>
      <c r="AG45" s="94" cm="1">
        <f t="array" aca="1" ref="AG45" ca="1">IF(AF$3="None",0,(INDIRECT("TABLE_WTL[@[" &amp; AG$4 &amp; "]]")))</f>
        <v>0</v>
      </c>
      <c r="AH45" s="104">
        <f t="shared" si="10"/>
        <v>0</v>
      </c>
      <c r="AI45" s="125">
        <v>0</v>
      </c>
      <c r="AJ45" s="94" cm="1">
        <f t="array" aca="1" ref="AJ45" ca="1">IF(AI$3="None",0,(INDIRECT("TABLE_WTL[@[" &amp; AJ$4 &amp; "]]")))</f>
        <v>0</v>
      </c>
      <c r="AK45" s="104">
        <f t="shared" si="11"/>
        <v>0</v>
      </c>
      <c r="AL45" s="125">
        <v>0</v>
      </c>
      <c r="AM45" s="94" cm="1">
        <f t="array" aca="1" ref="AM45" ca="1">IF(AL$3="None",0,(INDIRECT("TABLE_WTL[@[" &amp; AM$4 &amp; "]]")))</f>
        <v>0</v>
      </c>
      <c r="AN45" s="104">
        <f t="shared" si="12"/>
        <v>0</v>
      </c>
      <c r="AO45" s="125">
        <v>0</v>
      </c>
      <c r="AP45" s="94" cm="1">
        <f t="array" aca="1" ref="AP45" ca="1">IF(AO$3="None",0,(INDIRECT("TABLE_WTL[@[" &amp; AP$4 &amp; "]]")))</f>
        <v>0</v>
      </c>
      <c r="AQ45" s="105"/>
      <c r="AR45" s="128"/>
      <c r="AS45" s="132"/>
      <c r="AT45" s="132"/>
      <c r="AU45" s="132"/>
      <c r="AV45" s="132"/>
      <c r="AW45" s="132"/>
      <c r="AX45" s="133"/>
      <c r="AY45" s="105"/>
      <c r="AZ45" s="148"/>
      <c r="BA45" s="63"/>
      <c r="BB45" s="141"/>
      <c r="BC45" s="142"/>
      <c r="BD45" s="142"/>
      <c r="BE45" s="142"/>
      <c r="BF45" s="142"/>
      <c r="BG45" s="142"/>
      <c r="BH45" s="142"/>
      <c r="BI45" s="143"/>
      <c r="BJ45" s="63"/>
      <c r="BK45" s="96">
        <f>N45/ATP_Conditions!$C$8</f>
        <v>3.2857142857142856</v>
      </c>
    </row>
    <row r="46" spans="1:63" ht="15" thickBot="1" x14ac:dyDescent="0.4">
      <c r="A46" s="31">
        <f t="shared" si="13"/>
        <v>42</v>
      </c>
      <c r="B46" s="97">
        <f t="shared" si="0"/>
        <v>42</v>
      </c>
      <c r="C46" s="98">
        <f t="shared" si="14"/>
        <v>46307</v>
      </c>
      <c r="D46" s="99" t="str">
        <f t="shared" si="1"/>
        <v>42-2026</v>
      </c>
      <c r="E46" s="100" t="str">
        <f>_xlfn.IFNA(VLOOKUP(D46,Race_Calendar!D:F,2,FALSE),"-")</f>
        <v>-</v>
      </c>
      <c r="F46" s="97" t="str">
        <f>_xlfn.IFNA(VLOOKUP($D46,Race_Calendar!$D:$F,3,FALSE),"-")</f>
        <v>-</v>
      </c>
      <c r="G46" s="245" t="str">
        <f>_xlfn.IFNA(VLOOKUP(D46,Race_Calendar!D:H,4,FALSE),"-")</f>
        <v>-</v>
      </c>
      <c r="H46" s="101"/>
      <c r="I46" s="121" t="s">
        <v>77</v>
      </c>
      <c r="J46" s="124"/>
      <c r="K46" s="123" t="str">
        <f t="shared" si="15"/>
        <v>Trans</v>
      </c>
      <c r="L46" s="102"/>
      <c r="M46" s="99"/>
      <c r="N46" s="103">
        <f>VLOOKUP(K46,ATP_Conditions!M:N,2,FALSE)</f>
        <v>230</v>
      </c>
      <c r="O46" s="31">
        <f>SUM(T46,W46,Z46,AC46,AF46,AI46,AL46,AO46)+ATP_Conditions!$C$7</f>
        <v>50</v>
      </c>
      <c r="P46" s="32">
        <f t="shared" ca="1" si="16"/>
        <v>0</v>
      </c>
      <c r="Q46" s="91">
        <f t="shared" si="17"/>
        <v>-180</v>
      </c>
      <c r="R46" s="92">
        <f t="shared" ca="1" si="4"/>
        <v>-230</v>
      </c>
      <c r="S46" s="104">
        <f t="shared" si="5"/>
        <v>50</v>
      </c>
      <c r="T46" s="125">
        <v>50</v>
      </c>
      <c r="U46" s="94" cm="1">
        <f t="array" aca="1" ref="U46" ca="1">IF(T$3="None",0,(INDIRECT("TABLE_WTL[@[" &amp; U$4 &amp; "]]")))</f>
        <v>0</v>
      </c>
      <c r="V46" s="104">
        <f t="shared" si="6"/>
        <v>0</v>
      </c>
      <c r="W46" s="125">
        <v>0</v>
      </c>
      <c r="X46" s="94" cm="1">
        <f t="array" aca="1" ref="X46" ca="1">IF(W$3="None",0,(INDIRECT("TABLE_WTL[@[" &amp; X$4 &amp; "]]")))</f>
        <v>0</v>
      </c>
      <c r="Y46" s="104">
        <f t="shared" si="7"/>
        <v>0</v>
      </c>
      <c r="Z46" s="125">
        <v>0</v>
      </c>
      <c r="AA46" s="94" cm="1">
        <f t="array" aca="1" ref="AA46" ca="1">IF(Z$3="None",0,(INDIRECT("TABLE_WTL[@[" &amp; AA$4 &amp; "]]")))</f>
        <v>0</v>
      </c>
      <c r="AB46" s="104">
        <f t="shared" si="8"/>
        <v>0</v>
      </c>
      <c r="AC46" s="125">
        <v>0</v>
      </c>
      <c r="AD46" s="94" cm="1">
        <f t="array" aca="1" ref="AD46" ca="1">IF(AC$3="None",0,(INDIRECT("TABLE_WTL[@[" &amp; AD$4 &amp; "]]")))</f>
        <v>0</v>
      </c>
      <c r="AE46" s="104">
        <f t="shared" si="9"/>
        <v>0</v>
      </c>
      <c r="AF46" s="125">
        <v>0</v>
      </c>
      <c r="AG46" s="94" cm="1">
        <f t="array" aca="1" ref="AG46" ca="1">IF(AF$3="None",0,(INDIRECT("TABLE_WTL[@[" &amp; AG$4 &amp; "]]")))</f>
        <v>0</v>
      </c>
      <c r="AH46" s="104">
        <f t="shared" si="10"/>
        <v>0</v>
      </c>
      <c r="AI46" s="125">
        <v>0</v>
      </c>
      <c r="AJ46" s="94" cm="1">
        <f t="array" aca="1" ref="AJ46" ca="1">IF(AI$3="None",0,(INDIRECT("TABLE_WTL[@[" &amp; AJ$4 &amp; "]]")))</f>
        <v>0</v>
      </c>
      <c r="AK46" s="104">
        <f t="shared" si="11"/>
        <v>0</v>
      </c>
      <c r="AL46" s="125">
        <v>0</v>
      </c>
      <c r="AM46" s="94" cm="1">
        <f t="array" aca="1" ref="AM46" ca="1">IF(AL$3="None",0,(INDIRECT("TABLE_WTL[@[" &amp; AM$4 &amp; "]]")))</f>
        <v>0</v>
      </c>
      <c r="AN46" s="104">
        <f t="shared" si="12"/>
        <v>0</v>
      </c>
      <c r="AO46" s="125">
        <v>0</v>
      </c>
      <c r="AP46" s="94" cm="1">
        <f t="array" aca="1" ref="AP46" ca="1">IF(AO$3="None",0,(INDIRECT("TABLE_WTL[@[" &amp; AP$4 &amp; "]]")))</f>
        <v>0</v>
      </c>
      <c r="AQ46" s="105"/>
      <c r="AR46" s="128"/>
      <c r="AS46" s="132"/>
      <c r="AT46" s="132"/>
      <c r="AU46" s="132"/>
      <c r="AV46" s="132"/>
      <c r="AW46" s="132"/>
      <c r="AX46" s="133"/>
      <c r="AY46" s="105"/>
      <c r="AZ46" s="148"/>
      <c r="BA46" s="63"/>
      <c r="BB46" s="141"/>
      <c r="BC46" s="142"/>
      <c r="BD46" s="142"/>
      <c r="BE46" s="142"/>
      <c r="BF46" s="142"/>
      <c r="BG46" s="142"/>
      <c r="BH46" s="142"/>
      <c r="BI46" s="143"/>
      <c r="BJ46" s="63"/>
      <c r="BK46" s="96">
        <f>N46/ATP_Conditions!$C$8</f>
        <v>3.2857142857142856</v>
      </c>
    </row>
    <row r="47" spans="1:63" ht="15" thickBot="1" x14ac:dyDescent="0.4">
      <c r="A47" s="31">
        <f t="shared" si="13"/>
        <v>43</v>
      </c>
      <c r="B47" s="97">
        <f t="shared" si="0"/>
        <v>43</v>
      </c>
      <c r="C47" s="98">
        <f t="shared" si="14"/>
        <v>46314</v>
      </c>
      <c r="D47" s="99" t="str">
        <f t="shared" si="1"/>
        <v>43-2026</v>
      </c>
      <c r="E47" s="100" t="str">
        <f>_xlfn.IFNA(VLOOKUP(D47,Race_Calendar!D:F,2,FALSE),"-")</f>
        <v>-</v>
      </c>
      <c r="F47" s="97" t="str">
        <f>_xlfn.IFNA(VLOOKUP($D47,Race_Calendar!$D:$F,3,FALSE),"-")</f>
        <v>-</v>
      </c>
      <c r="G47" s="245" t="str">
        <f>_xlfn.IFNA(VLOOKUP(D47,Race_Calendar!D:H,4,FALSE),"-")</f>
        <v>-</v>
      </c>
      <c r="H47" s="101"/>
      <c r="I47" s="121" t="s">
        <v>77</v>
      </c>
      <c r="J47" s="124"/>
      <c r="K47" s="123" t="str">
        <f t="shared" si="15"/>
        <v>Trans</v>
      </c>
      <c r="L47" s="102"/>
      <c r="M47" s="99"/>
      <c r="N47" s="103">
        <f>VLOOKUP(K47,ATP_Conditions!M:N,2,FALSE)</f>
        <v>230</v>
      </c>
      <c r="O47" s="31">
        <f>SUM(T47,W47,Z47,AC47,AF47,AI47,AL47,AO47)+ATP_Conditions!$C$7</f>
        <v>50</v>
      </c>
      <c r="P47" s="32">
        <f t="shared" ca="1" si="16"/>
        <v>0</v>
      </c>
      <c r="Q47" s="91">
        <f t="shared" si="17"/>
        <v>-180</v>
      </c>
      <c r="R47" s="92">
        <f t="shared" ca="1" si="4"/>
        <v>-230</v>
      </c>
      <c r="S47" s="104">
        <f t="shared" si="5"/>
        <v>50</v>
      </c>
      <c r="T47" s="125">
        <v>50</v>
      </c>
      <c r="U47" s="94" cm="1">
        <f t="array" aca="1" ref="U47" ca="1">IF(T$3="None",0,(INDIRECT("TABLE_WTL[@[" &amp; U$4 &amp; "]]")))</f>
        <v>0</v>
      </c>
      <c r="V47" s="104">
        <f t="shared" si="6"/>
        <v>0</v>
      </c>
      <c r="W47" s="125">
        <v>0</v>
      </c>
      <c r="X47" s="94" cm="1">
        <f t="array" aca="1" ref="X47" ca="1">IF(W$3="None",0,(INDIRECT("TABLE_WTL[@[" &amp; X$4 &amp; "]]")))</f>
        <v>0</v>
      </c>
      <c r="Y47" s="104">
        <f t="shared" si="7"/>
        <v>0</v>
      </c>
      <c r="Z47" s="125">
        <v>0</v>
      </c>
      <c r="AA47" s="94" cm="1">
        <f t="array" aca="1" ref="AA47" ca="1">IF(Z$3="None",0,(INDIRECT("TABLE_WTL[@[" &amp; AA$4 &amp; "]]")))</f>
        <v>0</v>
      </c>
      <c r="AB47" s="104">
        <f t="shared" si="8"/>
        <v>0</v>
      </c>
      <c r="AC47" s="125">
        <v>0</v>
      </c>
      <c r="AD47" s="94" cm="1">
        <f t="array" aca="1" ref="AD47" ca="1">IF(AC$3="None",0,(INDIRECT("TABLE_WTL[@[" &amp; AD$4 &amp; "]]")))</f>
        <v>0</v>
      </c>
      <c r="AE47" s="104">
        <f t="shared" si="9"/>
        <v>0</v>
      </c>
      <c r="AF47" s="125">
        <v>0</v>
      </c>
      <c r="AG47" s="94" cm="1">
        <f t="array" aca="1" ref="AG47" ca="1">IF(AF$3="None",0,(INDIRECT("TABLE_WTL[@[" &amp; AG$4 &amp; "]]")))</f>
        <v>0</v>
      </c>
      <c r="AH47" s="104">
        <f t="shared" si="10"/>
        <v>0</v>
      </c>
      <c r="AI47" s="125">
        <v>0</v>
      </c>
      <c r="AJ47" s="94" cm="1">
        <f t="array" aca="1" ref="AJ47" ca="1">IF(AI$3="None",0,(INDIRECT("TABLE_WTL[@[" &amp; AJ$4 &amp; "]]")))</f>
        <v>0</v>
      </c>
      <c r="AK47" s="104">
        <f t="shared" si="11"/>
        <v>0</v>
      </c>
      <c r="AL47" s="125">
        <v>0</v>
      </c>
      <c r="AM47" s="94" cm="1">
        <f t="array" aca="1" ref="AM47" ca="1">IF(AL$3="None",0,(INDIRECT("TABLE_WTL[@[" &amp; AM$4 &amp; "]]")))</f>
        <v>0</v>
      </c>
      <c r="AN47" s="104">
        <f t="shared" si="12"/>
        <v>0</v>
      </c>
      <c r="AO47" s="125">
        <v>0</v>
      </c>
      <c r="AP47" s="94" cm="1">
        <f t="array" aca="1" ref="AP47" ca="1">IF(AO$3="None",0,(INDIRECT("TABLE_WTL[@[" &amp; AP$4 &amp; "]]")))</f>
        <v>0</v>
      </c>
      <c r="AQ47" s="105"/>
      <c r="AR47" s="128"/>
      <c r="AS47" s="132"/>
      <c r="AT47" s="132"/>
      <c r="AU47" s="132"/>
      <c r="AV47" s="132"/>
      <c r="AW47" s="132"/>
      <c r="AX47" s="133"/>
      <c r="AY47" s="105"/>
      <c r="AZ47" s="148"/>
      <c r="BA47" s="63"/>
      <c r="BB47" s="141"/>
      <c r="BC47" s="142"/>
      <c r="BD47" s="142"/>
      <c r="BE47" s="142"/>
      <c r="BF47" s="142"/>
      <c r="BG47" s="142"/>
      <c r="BH47" s="142"/>
      <c r="BI47" s="143"/>
      <c r="BJ47" s="63"/>
      <c r="BK47" s="96">
        <f>N47/ATP_Conditions!$C$8</f>
        <v>3.2857142857142856</v>
      </c>
    </row>
    <row r="48" spans="1:63" ht="15" thickBot="1" x14ac:dyDescent="0.4">
      <c r="A48" s="31">
        <f t="shared" si="13"/>
        <v>44</v>
      </c>
      <c r="B48" s="97">
        <f t="shared" si="0"/>
        <v>44</v>
      </c>
      <c r="C48" s="98">
        <f t="shared" si="14"/>
        <v>46321</v>
      </c>
      <c r="D48" s="99" t="str">
        <f t="shared" si="1"/>
        <v>44-2026</v>
      </c>
      <c r="E48" s="100" t="str">
        <f>_xlfn.IFNA(VLOOKUP(D48,Race_Calendar!D:F,2,FALSE),"-")</f>
        <v>-</v>
      </c>
      <c r="F48" s="97" t="str">
        <f>_xlfn.IFNA(VLOOKUP($D48,Race_Calendar!$D:$F,3,FALSE),"-")</f>
        <v>-</v>
      </c>
      <c r="G48" s="245" t="str">
        <f>_xlfn.IFNA(VLOOKUP(D48,Race_Calendar!D:H,4,FALSE),"-")</f>
        <v>-</v>
      </c>
      <c r="H48" s="101"/>
      <c r="I48" s="121" t="s">
        <v>77</v>
      </c>
      <c r="J48" s="124"/>
      <c r="K48" s="123" t="str">
        <f t="shared" si="15"/>
        <v>Trans</v>
      </c>
      <c r="L48" s="102"/>
      <c r="M48" s="99"/>
      <c r="N48" s="103">
        <f>VLOOKUP(K48,ATP_Conditions!M:N,2,FALSE)</f>
        <v>230</v>
      </c>
      <c r="O48" s="31">
        <f>SUM(T48,W48,Z48,AC48,AF48,AI48,AL48,AO48)+ATP_Conditions!$C$7</f>
        <v>50</v>
      </c>
      <c r="P48" s="32">
        <f t="shared" ca="1" si="16"/>
        <v>0</v>
      </c>
      <c r="Q48" s="91">
        <f t="shared" si="17"/>
        <v>-180</v>
      </c>
      <c r="R48" s="92">
        <f t="shared" ca="1" si="4"/>
        <v>-230</v>
      </c>
      <c r="S48" s="104">
        <f t="shared" si="5"/>
        <v>50</v>
      </c>
      <c r="T48" s="125">
        <v>50</v>
      </c>
      <c r="U48" s="94" cm="1">
        <f t="array" aca="1" ref="U48" ca="1">IF(T$3="None",0,(INDIRECT("TABLE_WTL[@[" &amp; U$4 &amp; "]]")))</f>
        <v>0</v>
      </c>
      <c r="V48" s="104">
        <f t="shared" si="6"/>
        <v>0</v>
      </c>
      <c r="W48" s="125">
        <v>0</v>
      </c>
      <c r="X48" s="94" cm="1">
        <f t="array" aca="1" ref="X48" ca="1">IF(W$3="None",0,(INDIRECT("TABLE_WTL[@[" &amp; X$4 &amp; "]]")))</f>
        <v>0</v>
      </c>
      <c r="Y48" s="104">
        <f t="shared" si="7"/>
        <v>0</v>
      </c>
      <c r="Z48" s="125">
        <v>0</v>
      </c>
      <c r="AA48" s="94" cm="1">
        <f t="array" aca="1" ref="AA48" ca="1">IF(Z$3="None",0,(INDIRECT("TABLE_WTL[@[" &amp; AA$4 &amp; "]]")))</f>
        <v>0</v>
      </c>
      <c r="AB48" s="104">
        <f t="shared" si="8"/>
        <v>0</v>
      </c>
      <c r="AC48" s="125">
        <v>0</v>
      </c>
      <c r="AD48" s="94" cm="1">
        <f t="array" aca="1" ref="AD48" ca="1">IF(AC$3="None",0,(INDIRECT("TABLE_WTL[@[" &amp; AD$4 &amp; "]]")))</f>
        <v>0</v>
      </c>
      <c r="AE48" s="104">
        <f t="shared" si="9"/>
        <v>0</v>
      </c>
      <c r="AF48" s="125">
        <v>0</v>
      </c>
      <c r="AG48" s="94" cm="1">
        <f t="array" aca="1" ref="AG48" ca="1">IF(AF$3="None",0,(INDIRECT("TABLE_WTL[@[" &amp; AG$4 &amp; "]]")))</f>
        <v>0</v>
      </c>
      <c r="AH48" s="104">
        <f t="shared" si="10"/>
        <v>0</v>
      </c>
      <c r="AI48" s="125">
        <v>0</v>
      </c>
      <c r="AJ48" s="94" cm="1">
        <f t="array" aca="1" ref="AJ48" ca="1">IF(AI$3="None",0,(INDIRECT("TABLE_WTL[@[" &amp; AJ$4 &amp; "]]")))</f>
        <v>0</v>
      </c>
      <c r="AK48" s="104">
        <f t="shared" si="11"/>
        <v>0</v>
      </c>
      <c r="AL48" s="125">
        <v>0</v>
      </c>
      <c r="AM48" s="94" cm="1">
        <f t="array" aca="1" ref="AM48" ca="1">IF(AL$3="None",0,(INDIRECT("TABLE_WTL[@[" &amp; AM$4 &amp; "]]")))</f>
        <v>0</v>
      </c>
      <c r="AN48" s="104">
        <f t="shared" si="12"/>
        <v>0</v>
      </c>
      <c r="AO48" s="125">
        <v>0</v>
      </c>
      <c r="AP48" s="94" cm="1">
        <f t="array" aca="1" ref="AP48" ca="1">IF(AO$3="None",0,(INDIRECT("TABLE_WTL[@[" &amp; AP$4 &amp; "]]")))</f>
        <v>0</v>
      </c>
      <c r="AQ48" s="105"/>
      <c r="AR48" s="128"/>
      <c r="AS48" s="132"/>
      <c r="AT48" s="132"/>
      <c r="AU48" s="132"/>
      <c r="AV48" s="132"/>
      <c r="AW48" s="132"/>
      <c r="AX48" s="133"/>
      <c r="AY48" s="105"/>
      <c r="AZ48" s="148"/>
      <c r="BA48" s="63"/>
      <c r="BB48" s="141"/>
      <c r="BC48" s="142"/>
      <c r="BD48" s="142"/>
      <c r="BE48" s="142"/>
      <c r="BF48" s="142"/>
      <c r="BG48" s="142"/>
      <c r="BH48" s="142"/>
      <c r="BI48" s="143"/>
      <c r="BJ48" s="63"/>
      <c r="BK48" s="96">
        <f>N48/ATP_Conditions!$C$8</f>
        <v>3.2857142857142856</v>
      </c>
    </row>
    <row r="49" spans="1:63" ht="15" thickBot="1" x14ac:dyDescent="0.4">
      <c r="A49" s="31">
        <f t="shared" si="13"/>
        <v>45</v>
      </c>
      <c r="B49" s="97">
        <f t="shared" si="0"/>
        <v>45</v>
      </c>
      <c r="C49" s="98">
        <f t="shared" si="14"/>
        <v>46328</v>
      </c>
      <c r="D49" s="99" t="str">
        <f t="shared" si="1"/>
        <v>45-2026</v>
      </c>
      <c r="E49" s="100" t="str">
        <f>_xlfn.IFNA(VLOOKUP(D49,Race_Calendar!D:F,2,FALSE),"-")</f>
        <v>-</v>
      </c>
      <c r="F49" s="97" t="str">
        <f>_xlfn.IFNA(VLOOKUP($D49,Race_Calendar!$D:$F,3,FALSE),"-")</f>
        <v>-</v>
      </c>
      <c r="G49" s="245" t="str">
        <f>_xlfn.IFNA(VLOOKUP(D49,Race_Calendar!D:H,4,FALSE),"-")</f>
        <v>-</v>
      </c>
      <c r="H49" s="101"/>
      <c r="I49" s="121" t="s">
        <v>77</v>
      </c>
      <c r="J49" s="124"/>
      <c r="K49" s="123" t="str">
        <f t="shared" si="15"/>
        <v>Trans</v>
      </c>
      <c r="L49" s="102"/>
      <c r="M49" s="99"/>
      <c r="N49" s="103">
        <f>VLOOKUP(K49,ATP_Conditions!M:N,2,FALSE)</f>
        <v>230</v>
      </c>
      <c r="O49" s="31">
        <f>SUM(T49,W49,Z49,AC49,AF49,AI49,AL49,AO49)+ATP_Conditions!$C$7</f>
        <v>50</v>
      </c>
      <c r="P49" s="32">
        <f t="shared" ca="1" si="16"/>
        <v>0</v>
      </c>
      <c r="Q49" s="91">
        <f t="shared" si="17"/>
        <v>-180</v>
      </c>
      <c r="R49" s="92">
        <f t="shared" ca="1" si="4"/>
        <v>-230</v>
      </c>
      <c r="S49" s="104">
        <f t="shared" si="5"/>
        <v>50</v>
      </c>
      <c r="T49" s="125">
        <v>50</v>
      </c>
      <c r="U49" s="94" cm="1">
        <f t="array" aca="1" ref="U49" ca="1">IF(T$3="None",0,(INDIRECT("TABLE_WTL[@[" &amp; U$4 &amp; "]]")))</f>
        <v>0</v>
      </c>
      <c r="V49" s="104">
        <f t="shared" si="6"/>
        <v>0</v>
      </c>
      <c r="W49" s="125">
        <v>0</v>
      </c>
      <c r="X49" s="94" cm="1">
        <f t="array" aca="1" ref="X49" ca="1">IF(W$3="None",0,(INDIRECT("TABLE_WTL[@[" &amp; X$4 &amp; "]]")))</f>
        <v>0</v>
      </c>
      <c r="Y49" s="104">
        <f t="shared" si="7"/>
        <v>0</v>
      </c>
      <c r="Z49" s="125">
        <v>0</v>
      </c>
      <c r="AA49" s="94" cm="1">
        <f t="array" aca="1" ref="AA49" ca="1">IF(Z$3="None",0,(INDIRECT("TABLE_WTL[@[" &amp; AA$4 &amp; "]]")))</f>
        <v>0</v>
      </c>
      <c r="AB49" s="104">
        <f t="shared" si="8"/>
        <v>0</v>
      </c>
      <c r="AC49" s="125">
        <v>0</v>
      </c>
      <c r="AD49" s="94" cm="1">
        <f t="array" aca="1" ref="AD49" ca="1">IF(AC$3="None",0,(INDIRECT("TABLE_WTL[@[" &amp; AD$4 &amp; "]]")))</f>
        <v>0</v>
      </c>
      <c r="AE49" s="104">
        <f t="shared" si="9"/>
        <v>0</v>
      </c>
      <c r="AF49" s="125">
        <v>0</v>
      </c>
      <c r="AG49" s="94" cm="1">
        <f t="array" aca="1" ref="AG49" ca="1">IF(AF$3="None",0,(INDIRECT("TABLE_WTL[@[" &amp; AG$4 &amp; "]]")))</f>
        <v>0</v>
      </c>
      <c r="AH49" s="104">
        <f t="shared" si="10"/>
        <v>0</v>
      </c>
      <c r="AI49" s="125">
        <v>0</v>
      </c>
      <c r="AJ49" s="94" cm="1">
        <f t="array" aca="1" ref="AJ49" ca="1">IF(AI$3="None",0,(INDIRECT("TABLE_WTL[@[" &amp; AJ$4 &amp; "]]")))</f>
        <v>0</v>
      </c>
      <c r="AK49" s="104">
        <f t="shared" si="11"/>
        <v>0</v>
      </c>
      <c r="AL49" s="125">
        <v>0</v>
      </c>
      <c r="AM49" s="94" cm="1">
        <f t="array" aca="1" ref="AM49" ca="1">IF(AL$3="None",0,(INDIRECT("TABLE_WTL[@[" &amp; AM$4 &amp; "]]")))</f>
        <v>0</v>
      </c>
      <c r="AN49" s="104">
        <f t="shared" si="12"/>
        <v>0</v>
      </c>
      <c r="AO49" s="125">
        <v>0</v>
      </c>
      <c r="AP49" s="94" cm="1">
        <f t="array" aca="1" ref="AP49" ca="1">IF(AO$3="None",0,(INDIRECT("TABLE_WTL[@[" &amp; AP$4 &amp; "]]")))</f>
        <v>0</v>
      </c>
      <c r="AQ49" s="105"/>
      <c r="AR49" s="128"/>
      <c r="AS49" s="132"/>
      <c r="AT49" s="132"/>
      <c r="AU49" s="132"/>
      <c r="AV49" s="132"/>
      <c r="AW49" s="132"/>
      <c r="AX49" s="133"/>
      <c r="AY49" s="105"/>
      <c r="AZ49" s="148"/>
      <c r="BA49" s="63"/>
      <c r="BB49" s="141"/>
      <c r="BC49" s="142"/>
      <c r="BD49" s="142"/>
      <c r="BE49" s="142"/>
      <c r="BF49" s="142"/>
      <c r="BG49" s="142"/>
      <c r="BH49" s="142"/>
      <c r="BI49" s="143"/>
      <c r="BJ49" s="63"/>
      <c r="BK49" s="96">
        <f>N49/ATP_Conditions!$C$8</f>
        <v>3.2857142857142856</v>
      </c>
    </row>
    <row r="50" spans="1:63" ht="15" thickBot="1" x14ac:dyDescent="0.4">
      <c r="A50" s="31">
        <f t="shared" si="13"/>
        <v>46</v>
      </c>
      <c r="B50" s="97">
        <f t="shared" si="0"/>
        <v>46</v>
      </c>
      <c r="C50" s="98">
        <f t="shared" si="14"/>
        <v>46335</v>
      </c>
      <c r="D50" s="99" t="str">
        <f t="shared" si="1"/>
        <v>46-2026</v>
      </c>
      <c r="E50" s="100" t="str">
        <f>_xlfn.IFNA(VLOOKUP(D50,Race_Calendar!D:F,2,FALSE),"-")</f>
        <v>-</v>
      </c>
      <c r="F50" s="97" t="str">
        <f>_xlfn.IFNA(VLOOKUP($D50,Race_Calendar!$D:$F,3,FALSE),"-")</f>
        <v>-</v>
      </c>
      <c r="G50" s="245" t="str">
        <f>_xlfn.IFNA(VLOOKUP(D50,Race_Calendar!D:H,4,FALSE),"-")</f>
        <v>-</v>
      </c>
      <c r="H50" s="101"/>
      <c r="I50" s="121" t="s">
        <v>77</v>
      </c>
      <c r="J50" s="124"/>
      <c r="K50" s="123" t="str">
        <f t="shared" si="15"/>
        <v>Trans</v>
      </c>
      <c r="L50" s="102"/>
      <c r="M50" s="99"/>
      <c r="N50" s="103">
        <f>VLOOKUP(K50,ATP_Conditions!M:N,2,FALSE)</f>
        <v>230</v>
      </c>
      <c r="O50" s="31">
        <f>SUM(T50,W50,Z50,AC50,AF50,AI50,AL50,AO50)+ATP_Conditions!$C$7</f>
        <v>50</v>
      </c>
      <c r="P50" s="32">
        <f t="shared" ca="1" si="16"/>
        <v>0</v>
      </c>
      <c r="Q50" s="91">
        <f t="shared" si="17"/>
        <v>-180</v>
      </c>
      <c r="R50" s="92">
        <f t="shared" ca="1" si="4"/>
        <v>-230</v>
      </c>
      <c r="S50" s="104">
        <f t="shared" si="5"/>
        <v>50</v>
      </c>
      <c r="T50" s="125">
        <v>50</v>
      </c>
      <c r="U50" s="94" cm="1">
        <f t="array" aca="1" ref="U50" ca="1">IF(T$3="None",0,(INDIRECT("TABLE_WTL[@[" &amp; U$4 &amp; "]]")))</f>
        <v>0</v>
      </c>
      <c r="V50" s="104">
        <f t="shared" si="6"/>
        <v>0</v>
      </c>
      <c r="W50" s="125">
        <v>0</v>
      </c>
      <c r="X50" s="94" cm="1">
        <f t="array" aca="1" ref="X50" ca="1">IF(W$3="None",0,(INDIRECT("TABLE_WTL[@[" &amp; X$4 &amp; "]]")))</f>
        <v>0</v>
      </c>
      <c r="Y50" s="104">
        <f t="shared" si="7"/>
        <v>0</v>
      </c>
      <c r="Z50" s="125">
        <v>0</v>
      </c>
      <c r="AA50" s="94" cm="1">
        <f t="array" aca="1" ref="AA50" ca="1">IF(Z$3="None",0,(INDIRECT("TABLE_WTL[@[" &amp; AA$4 &amp; "]]")))</f>
        <v>0</v>
      </c>
      <c r="AB50" s="104">
        <f t="shared" si="8"/>
        <v>0</v>
      </c>
      <c r="AC50" s="125">
        <v>0</v>
      </c>
      <c r="AD50" s="94" cm="1">
        <f t="array" aca="1" ref="AD50" ca="1">IF(AC$3="None",0,(INDIRECT("TABLE_WTL[@[" &amp; AD$4 &amp; "]]")))</f>
        <v>0</v>
      </c>
      <c r="AE50" s="104">
        <f t="shared" si="9"/>
        <v>0</v>
      </c>
      <c r="AF50" s="125">
        <v>0</v>
      </c>
      <c r="AG50" s="94" cm="1">
        <f t="array" aca="1" ref="AG50" ca="1">IF(AF$3="None",0,(INDIRECT("TABLE_WTL[@[" &amp; AG$4 &amp; "]]")))</f>
        <v>0</v>
      </c>
      <c r="AH50" s="104">
        <f t="shared" si="10"/>
        <v>0</v>
      </c>
      <c r="AI50" s="125">
        <v>0</v>
      </c>
      <c r="AJ50" s="94" cm="1">
        <f t="array" aca="1" ref="AJ50" ca="1">IF(AI$3="None",0,(INDIRECT("TABLE_WTL[@[" &amp; AJ$4 &amp; "]]")))</f>
        <v>0</v>
      </c>
      <c r="AK50" s="104">
        <f t="shared" si="11"/>
        <v>0</v>
      </c>
      <c r="AL50" s="125">
        <v>0</v>
      </c>
      <c r="AM50" s="94" cm="1">
        <f t="array" aca="1" ref="AM50" ca="1">IF(AL$3="None",0,(INDIRECT("TABLE_WTL[@[" &amp; AM$4 &amp; "]]")))</f>
        <v>0</v>
      </c>
      <c r="AN50" s="104">
        <f t="shared" si="12"/>
        <v>0</v>
      </c>
      <c r="AO50" s="125">
        <v>0</v>
      </c>
      <c r="AP50" s="94" cm="1">
        <f t="array" aca="1" ref="AP50" ca="1">IF(AO$3="None",0,(INDIRECT("TABLE_WTL[@[" &amp; AP$4 &amp; "]]")))</f>
        <v>0</v>
      </c>
      <c r="AQ50" s="105"/>
      <c r="AR50" s="128"/>
      <c r="AS50" s="132"/>
      <c r="AT50" s="132"/>
      <c r="AU50" s="132"/>
      <c r="AV50" s="132"/>
      <c r="AW50" s="132"/>
      <c r="AX50" s="133"/>
      <c r="AY50" s="105"/>
      <c r="AZ50" s="148"/>
      <c r="BA50" s="63"/>
      <c r="BB50" s="141"/>
      <c r="BC50" s="142"/>
      <c r="BD50" s="142"/>
      <c r="BE50" s="142"/>
      <c r="BF50" s="142"/>
      <c r="BG50" s="142"/>
      <c r="BH50" s="142"/>
      <c r="BI50" s="143"/>
      <c r="BJ50" s="63"/>
      <c r="BK50" s="96">
        <f>N50/ATP_Conditions!$C$8</f>
        <v>3.2857142857142856</v>
      </c>
    </row>
    <row r="51" spans="1:63" ht="15" thickBot="1" x14ac:dyDescent="0.4">
      <c r="A51" s="31">
        <f t="shared" si="13"/>
        <v>47</v>
      </c>
      <c r="B51" s="97">
        <f t="shared" si="0"/>
        <v>47</v>
      </c>
      <c r="C51" s="98">
        <f t="shared" si="14"/>
        <v>46342</v>
      </c>
      <c r="D51" s="99" t="str">
        <f t="shared" si="1"/>
        <v>47-2026</v>
      </c>
      <c r="E51" s="100" t="str">
        <f>_xlfn.IFNA(VLOOKUP(D51,Race_Calendar!D:F,2,FALSE),"-")</f>
        <v>-</v>
      </c>
      <c r="F51" s="97" t="str">
        <f>_xlfn.IFNA(VLOOKUP($D51,Race_Calendar!$D:$F,3,FALSE),"-")</f>
        <v>-</v>
      </c>
      <c r="G51" s="245" t="str">
        <f>_xlfn.IFNA(VLOOKUP(D51,Race_Calendar!D:H,4,FALSE),"-")</f>
        <v>-</v>
      </c>
      <c r="H51" s="101"/>
      <c r="I51" s="121" t="s">
        <v>77</v>
      </c>
      <c r="J51" s="124"/>
      <c r="K51" s="123" t="str">
        <f t="shared" si="15"/>
        <v>Trans</v>
      </c>
      <c r="L51" s="102"/>
      <c r="M51" s="99"/>
      <c r="N51" s="103">
        <f>VLOOKUP(K51,ATP_Conditions!M:N,2,FALSE)</f>
        <v>230</v>
      </c>
      <c r="O51" s="31">
        <f>SUM(T51,W51,Z51,AC51,AF51,AI51,AL51,AO51)+ATP_Conditions!$C$7</f>
        <v>50</v>
      </c>
      <c r="P51" s="32">
        <f t="shared" ca="1" si="16"/>
        <v>0</v>
      </c>
      <c r="Q51" s="91">
        <f t="shared" si="17"/>
        <v>-180</v>
      </c>
      <c r="R51" s="92">
        <f t="shared" ca="1" si="4"/>
        <v>-230</v>
      </c>
      <c r="S51" s="104">
        <f t="shared" si="5"/>
        <v>50</v>
      </c>
      <c r="T51" s="125">
        <v>50</v>
      </c>
      <c r="U51" s="94" cm="1">
        <f t="array" aca="1" ref="U51" ca="1">IF(T$3="None",0,(INDIRECT("TABLE_WTL[@[" &amp; U$4 &amp; "]]")))</f>
        <v>0</v>
      </c>
      <c r="V51" s="104">
        <f t="shared" si="6"/>
        <v>0</v>
      </c>
      <c r="W51" s="125">
        <v>0</v>
      </c>
      <c r="X51" s="94" cm="1">
        <f t="array" aca="1" ref="X51" ca="1">IF(W$3="None",0,(INDIRECT("TABLE_WTL[@[" &amp; X$4 &amp; "]]")))</f>
        <v>0</v>
      </c>
      <c r="Y51" s="104">
        <f t="shared" si="7"/>
        <v>0</v>
      </c>
      <c r="Z51" s="125">
        <v>0</v>
      </c>
      <c r="AA51" s="94" cm="1">
        <f t="array" aca="1" ref="AA51" ca="1">IF(Z$3="None",0,(INDIRECT("TABLE_WTL[@[" &amp; AA$4 &amp; "]]")))</f>
        <v>0</v>
      </c>
      <c r="AB51" s="104">
        <f t="shared" si="8"/>
        <v>0</v>
      </c>
      <c r="AC51" s="125">
        <v>0</v>
      </c>
      <c r="AD51" s="94" cm="1">
        <f t="array" aca="1" ref="AD51" ca="1">IF(AC$3="None",0,(INDIRECT("TABLE_WTL[@[" &amp; AD$4 &amp; "]]")))</f>
        <v>0</v>
      </c>
      <c r="AE51" s="104">
        <f t="shared" si="9"/>
        <v>0</v>
      </c>
      <c r="AF51" s="125">
        <v>0</v>
      </c>
      <c r="AG51" s="94" cm="1">
        <f t="array" aca="1" ref="AG51" ca="1">IF(AF$3="None",0,(INDIRECT("TABLE_WTL[@[" &amp; AG$4 &amp; "]]")))</f>
        <v>0</v>
      </c>
      <c r="AH51" s="104">
        <f t="shared" si="10"/>
        <v>0</v>
      </c>
      <c r="AI51" s="125">
        <v>0</v>
      </c>
      <c r="AJ51" s="94" cm="1">
        <f t="array" aca="1" ref="AJ51" ca="1">IF(AI$3="None",0,(INDIRECT("TABLE_WTL[@[" &amp; AJ$4 &amp; "]]")))</f>
        <v>0</v>
      </c>
      <c r="AK51" s="104">
        <f t="shared" si="11"/>
        <v>0</v>
      </c>
      <c r="AL51" s="125">
        <v>0</v>
      </c>
      <c r="AM51" s="94" cm="1">
        <f t="array" aca="1" ref="AM51" ca="1">IF(AL$3="None",0,(INDIRECT("TABLE_WTL[@[" &amp; AM$4 &amp; "]]")))</f>
        <v>0</v>
      </c>
      <c r="AN51" s="104">
        <f t="shared" si="12"/>
        <v>0</v>
      </c>
      <c r="AO51" s="125">
        <v>0</v>
      </c>
      <c r="AP51" s="94" cm="1">
        <f t="array" aca="1" ref="AP51" ca="1">IF(AO$3="None",0,(INDIRECT("TABLE_WTL[@[" &amp; AP$4 &amp; "]]")))</f>
        <v>0</v>
      </c>
      <c r="AQ51" s="105"/>
      <c r="AR51" s="128"/>
      <c r="AS51" s="132"/>
      <c r="AT51" s="132"/>
      <c r="AU51" s="132"/>
      <c r="AV51" s="132"/>
      <c r="AW51" s="132"/>
      <c r="AX51" s="133"/>
      <c r="AY51" s="105"/>
      <c r="AZ51" s="148"/>
      <c r="BA51" s="63"/>
      <c r="BB51" s="141"/>
      <c r="BC51" s="142"/>
      <c r="BD51" s="142"/>
      <c r="BE51" s="142"/>
      <c r="BF51" s="142"/>
      <c r="BG51" s="142"/>
      <c r="BH51" s="142"/>
      <c r="BI51" s="143"/>
      <c r="BJ51" s="63"/>
      <c r="BK51" s="96">
        <f>N51/ATP_Conditions!$C$8</f>
        <v>3.2857142857142856</v>
      </c>
    </row>
    <row r="52" spans="1:63" ht="15" thickBot="1" x14ac:dyDescent="0.4">
      <c r="A52" s="31">
        <f t="shared" si="13"/>
        <v>48</v>
      </c>
      <c r="B52" s="97">
        <f t="shared" si="0"/>
        <v>48</v>
      </c>
      <c r="C52" s="98">
        <f t="shared" si="14"/>
        <v>46349</v>
      </c>
      <c r="D52" s="99" t="str">
        <f t="shared" si="1"/>
        <v>48-2026</v>
      </c>
      <c r="E52" s="100" t="str">
        <f>_xlfn.IFNA(VLOOKUP(D52,Race_Calendar!D:F,2,FALSE),"-")</f>
        <v>-</v>
      </c>
      <c r="F52" s="97" t="str">
        <f>_xlfn.IFNA(VLOOKUP($D52,Race_Calendar!$D:$F,3,FALSE),"-")</f>
        <v>-</v>
      </c>
      <c r="G52" s="245" t="str">
        <f>_xlfn.IFNA(VLOOKUP(D52,Race_Calendar!D:H,4,FALSE),"-")</f>
        <v>-</v>
      </c>
      <c r="H52" s="101"/>
      <c r="I52" s="121" t="s">
        <v>77</v>
      </c>
      <c r="J52" s="124"/>
      <c r="K52" s="123" t="str">
        <f t="shared" si="15"/>
        <v>Trans</v>
      </c>
      <c r="L52" s="102"/>
      <c r="M52" s="99"/>
      <c r="N52" s="103">
        <f>VLOOKUP(K52,ATP_Conditions!M:N,2,FALSE)</f>
        <v>230</v>
      </c>
      <c r="O52" s="31">
        <f>SUM(T52,W52,Z52,AC52,AF52,AI52,AL52,AO52)+ATP_Conditions!$C$7</f>
        <v>50</v>
      </c>
      <c r="P52" s="32">
        <f t="shared" ca="1" si="16"/>
        <v>0</v>
      </c>
      <c r="Q52" s="91">
        <f t="shared" si="17"/>
        <v>-180</v>
      </c>
      <c r="R52" s="92">
        <f t="shared" ca="1" si="4"/>
        <v>-230</v>
      </c>
      <c r="S52" s="104">
        <f t="shared" si="5"/>
        <v>50</v>
      </c>
      <c r="T52" s="125">
        <v>50</v>
      </c>
      <c r="U52" s="94" cm="1">
        <f t="array" aca="1" ref="U52" ca="1">IF(T$3="None",0,(INDIRECT("TABLE_WTL[@[" &amp; U$4 &amp; "]]")))</f>
        <v>0</v>
      </c>
      <c r="V52" s="104">
        <f t="shared" si="6"/>
        <v>0</v>
      </c>
      <c r="W52" s="125">
        <v>0</v>
      </c>
      <c r="X52" s="94" cm="1">
        <f t="array" aca="1" ref="X52" ca="1">IF(W$3="None",0,(INDIRECT("TABLE_WTL[@[" &amp; X$4 &amp; "]]")))</f>
        <v>0</v>
      </c>
      <c r="Y52" s="104">
        <f t="shared" si="7"/>
        <v>0</v>
      </c>
      <c r="Z52" s="125">
        <v>0</v>
      </c>
      <c r="AA52" s="94" cm="1">
        <f t="array" aca="1" ref="AA52" ca="1">IF(Z$3="None",0,(INDIRECT("TABLE_WTL[@[" &amp; AA$4 &amp; "]]")))</f>
        <v>0</v>
      </c>
      <c r="AB52" s="104">
        <f t="shared" si="8"/>
        <v>0</v>
      </c>
      <c r="AC52" s="125">
        <v>0</v>
      </c>
      <c r="AD52" s="94" cm="1">
        <f t="array" aca="1" ref="AD52" ca="1">IF(AC$3="None",0,(INDIRECT("TABLE_WTL[@[" &amp; AD$4 &amp; "]]")))</f>
        <v>0</v>
      </c>
      <c r="AE52" s="104">
        <f t="shared" si="9"/>
        <v>0</v>
      </c>
      <c r="AF52" s="125">
        <v>0</v>
      </c>
      <c r="AG52" s="94" cm="1">
        <f t="array" aca="1" ref="AG52" ca="1">IF(AF$3="None",0,(INDIRECT("TABLE_WTL[@[" &amp; AG$4 &amp; "]]")))</f>
        <v>0</v>
      </c>
      <c r="AH52" s="104">
        <f t="shared" si="10"/>
        <v>0</v>
      </c>
      <c r="AI52" s="125">
        <v>0</v>
      </c>
      <c r="AJ52" s="94" cm="1">
        <f t="array" aca="1" ref="AJ52" ca="1">IF(AI$3="None",0,(INDIRECT("TABLE_WTL[@[" &amp; AJ$4 &amp; "]]")))</f>
        <v>0</v>
      </c>
      <c r="AK52" s="104">
        <f t="shared" si="11"/>
        <v>0</v>
      </c>
      <c r="AL52" s="125">
        <v>0</v>
      </c>
      <c r="AM52" s="94" cm="1">
        <f t="array" aca="1" ref="AM52" ca="1">IF(AL$3="None",0,(INDIRECT("TABLE_WTL[@[" &amp; AM$4 &amp; "]]")))</f>
        <v>0</v>
      </c>
      <c r="AN52" s="104">
        <f t="shared" si="12"/>
        <v>0</v>
      </c>
      <c r="AO52" s="125">
        <v>0</v>
      </c>
      <c r="AP52" s="94" cm="1">
        <f t="array" aca="1" ref="AP52" ca="1">IF(AO$3="None",0,(INDIRECT("TABLE_WTL[@[" &amp; AP$4 &amp; "]]")))</f>
        <v>0</v>
      </c>
      <c r="AQ52" s="105"/>
      <c r="AR52" s="128"/>
      <c r="AS52" s="132"/>
      <c r="AT52" s="132"/>
      <c r="AU52" s="132"/>
      <c r="AV52" s="132"/>
      <c r="AW52" s="132"/>
      <c r="AX52" s="133"/>
      <c r="AY52" s="105"/>
      <c r="AZ52" s="148"/>
      <c r="BA52" s="63"/>
      <c r="BB52" s="141"/>
      <c r="BC52" s="142"/>
      <c r="BD52" s="142"/>
      <c r="BE52" s="142"/>
      <c r="BF52" s="142"/>
      <c r="BG52" s="142"/>
      <c r="BH52" s="142"/>
      <c r="BI52" s="143"/>
      <c r="BJ52" s="63"/>
      <c r="BK52" s="96">
        <f>N52/ATP_Conditions!$C$8</f>
        <v>3.2857142857142856</v>
      </c>
    </row>
    <row r="53" spans="1:63" ht="15" thickBot="1" x14ac:dyDescent="0.4">
      <c r="A53" s="31">
        <f t="shared" si="13"/>
        <v>49</v>
      </c>
      <c r="B53" s="97">
        <f t="shared" si="0"/>
        <v>49</v>
      </c>
      <c r="C53" s="98">
        <f t="shared" si="14"/>
        <v>46356</v>
      </c>
      <c r="D53" s="99" t="str">
        <f t="shared" si="1"/>
        <v>49-2026</v>
      </c>
      <c r="E53" s="100" t="str">
        <f>_xlfn.IFNA(VLOOKUP(D53,Race_Calendar!D:F,2,FALSE),"-")</f>
        <v>-</v>
      </c>
      <c r="F53" s="97" t="str">
        <f>_xlfn.IFNA(VLOOKUP($D53,Race_Calendar!$D:$F,3,FALSE),"-")</f>
        <v>-</v>
      </c>
      <c r="G53" s="245" t="str">
        <f>_xlfn.IFNA(VLOOKUP(D53,Race_Calendar!D:H,4,FALSE),"-")</f>
        <v>-</v>
      </c>
      <c r="H53" s="101"/>
      <c r="I53" s="121" t="s">
        <v>77</v>
      </c>
      <c r="J53" s="124"/>
      <c r="K53" s="123" t="str">
        <f t="shared" si="15"/>
        <v>Trans</v>
      </c>
      <c r="L53" s="102"/>
      <c r="M53" s="99"/>
      <c r="N53" s="103">
        <f>VLOOKUP(K53,ATP_Conditions!M:N,2,FALSE)</f>
        <v>230</v>
      </c>
      <c r="O53" s="31">
        <f>SUM(T53,W53,Z53,AC53,AF53,AI53,AL53,AO53)+ATP_Conditions!$C$7</f>
        <v>50</v>
      </c>
      <c r="P53" s="32">
        <f t="shared" ca="1" si="16"/>
        <v>0</v>
      </c>
      <c r="Q53" s="91">
        <f t="shared" si="17"/>
        <v>-180</v>
      </c>
      <c r="R53" s="92">
        <f t="shared" ca="1" si="4"/>
        <v>-230</v>
      </c>
      <c r="S53" s="104">
        <f t="shared" si="5"/>
        <v>50</v>
      </c>
      <c r="T53" s="125">
        <v>50</v>
      </c>
      <c r="U53" s="94" cm="1">
        <f t="array" aca="1" ref="U53" ca="1">IF(T$3="None",0,(INDIRECT("TABLE_WTL[@[" &amp; U$4 &amp; "]]")))</f>
        <v>0</v>
      </c>
      <c r="V53" s="104">
        <f t="shared" si="6"/>
        <v>0</v>
      </c>
      <c r="W53" s="125">
        <v>0</v>
      </c>
      <c r="X53" s="94" cm="1">
        <f t="array" aca="1" ref="X53" ca="1">IF(W$3="None",0,(INDIRECT("TABLE_WTL[@[" &amp; X$4 &amp; "]]")))</f>
        <v>0</v>
      </c>
      <c r="Y53" s="104">
        <f t="shared" si="7"/>
        <v>0</v>
      </c>
      <c r="Z53" s="125">
        <v>0</v>
      </c>
      <c r="AA53" s="94" cm="1">
        <f t="array" aca="1" ref="AA53" ca="1">IF(Z$3="None",0,(INDIRECT("TABLE_WTL[@[" &amp; AA$4 &amp; "]]")))</f>
        <v>0</v>
      </c>
      <c r="AB53" s="104">
        <f t="shared" si="8"/>
        <v>0</v>
      </c>
      <c r="AC53" s="125">
        <v>0</v>
      </c>
      <c r="AD53" s="94" cm="1">
        <f t="array" aca="1" ref="AD53" ca="1">IF(AC$3="None",0,(INDIRECT("TABLE_WTL[@[" &amp; AD$4 &amp; "]]")))</f>
        <v>0</v>
      </c>
      <c r="AE53" s="104">
        <f t="shared" si="9"/>
        <v>0</v>
      </c>
      <c r="AF53" s="125">
        <v>0</v>
      </c>
      <c r="AG53" s="94" cm="1">
        <f t="array" aca="1" ref="AG53" ca="1">IF(AF$3="None",0,(INDIRECT("TABLE_WTL[@[" &amp; AG$4 &amp; "]]")))</f>
        <v>0</v>
      </c>
      <c r="AH53" s="104">
        <f t="shared" si="10"/>
        <v>0</v>
      </c>
      <c r="AI53" s="125">
        <v>0</v>
      </c>
      <c r="AJ53" s="94" cm="1">
        <f t="array" aca="1" ref="AJ53" ca="1">IF(AI$3="None",0,(INDIRECT("TABLE_WTL[@[" &amp; AJ$4 &amp; "]]")))</f>
        <v>0</v>
      </c>
      <c r="AK53" s="104">
        <f t="shared" si="11"/>
        <v>0</v>
      </c>
      <c r="AL53" s="125">
        <v>0</v>
      </c>
      <c r="AM53" s="94" cm="1">
        <f t="array" aca="1" ref="AM53" ca="1">IF(AL$3="None",0,(INDIRECT("TABLE_WTL[@[" &amp; AM$4 &amp; "]]")))</f>
        <v>0</v>
      </c>
      <c r="AN53" s="104">
        <f t="shared" si="12"/>
        <v>0</v>
      </c>
      <c r="AO53" s="125">
        <v>0</v>
      </c>
      <c r="AP53" s="94" cm="1">
        <f t="array" aca="1" ref="AP53" ca="1">IF(AO$3="None",0,(INDIRECT("TABLE_WTL[@[" &amp; AP$4 &amp; "]]")))</f>
        <v>0</v>
      </c>
      <c r="AQ53" s="105"/>
      <c r="AR53" s="128"/>
      <c r="AS53" s="132"/>
      <c r="AT53" s="132"/>
      <c r="AU53" s="132"/>
      <c r="AV53" s="132"/>
      <c r="AW53" s="132"/>
      <c r="AX53" s="133"/>
      <c r="AY53" s="105"/>
      <c r="AZ53" s="148"/>
      <c r="BA53" s="63"/>
      <c r="BB53" s="141"/>
      <c r="BC53" s="142"/>
      <c r="BD53" s="142"/>
      <c r="BE53" s="142"/>
      <c r="BF53" s="142"/>
      <c r="BG53" s="142"/>
      <c r="BH53" s="142"/>
      <c r="BI53" s="143"/>
      <c r="BJ53" s="63"/>
      <c r="BK53" s="96">
        <f>N53/ATP_Conditions!$C$8</f>
        <v>3.2857142857142856</v>
      </c>
    </row>
    <row r="54" spans="1:63" ht="15" thickBot="1" x14ac:dyDescent="0.4">
      <c r="A54" s="31">
        <f t="shared" si="13"/>
        <v>50</v>
      </c>
      <c r="B54" s="97">
        <f t="shared" si="0"/>
        <v>50</v>
      </c>
      <c r="C54" s="98">
        <f t="shared" si="14"/>
        <v>46363</v>
      </c>
      <c r="D54" s="99" t="str">
        <f t="shared" si="1"/>
        <v>50-2026</v>
      </c>
      <c r="E54" s="100" t="str">
        <f>_xlfn.IFNA(VLOOKUP(D54,Race_Calendar!D:F,2,FALSE),"-")</f>
        <v>-</v>
      </c>
      <c r="F54" s="100" t="str">
        <f>_xlfn.IFNA(VLOOKUP(E54,Race_Calendar!E:G,2,FALSE),"-")</f>
        <v>-</v>
      </c>
      <c r="G54" s="245" t="str">
        <f>_xlfn.IFNA(VLOOKUP(D54,Race_Calendar!D:H,4,FALSE),"-")</f>
        <v>-</v>
      </c>
      <c r="H54" s="101"/>
      <c r="I54" s="121" t="s">
        <v>77</v>
      </c>
      <c r="J54" s="124"/>
      <c r="K54" s="123" t="str">
        <f t="shared" si="15"/>
        <v>Trans</v>
      </c>
      <c r="L54" s="102"/>
      <c r="M54" s="99"/>
      <c r="N54" s="103">
        <f>VLOOKUP(K54,ATP_Conditions!M:N,2,FALSE)</f>
        <v>230</v>
      </c>
      <c r="O54" s="31">
        <f>SUM(T54,W54,Z54,AC54,AF54,AI54,AL54,AO54)+ATP_Conditions!$C$7</f>
        <v>50</v>
      </c>
      <c r="P54" s="32">
        <f t="shared" ca="1" si="16"/>
        <v>0</v>
      </c>
      <c r="Q54" s="91">
        <f t="shared" si="17"/>
        <v>-180</v>
      </c>
      <c r="R54" s="92">
        <f t="shared" ca="1" si="4"/>
        <v>-230</v>
      </c>
      <c r="S54" s="104">
        <f t="shared" si="5"/>
        <v>50</v>
      </c>
      <c r="T54" s="125">
        <v>50</v>
      </c>
      <c r="U54" s="94" cm="1">
        <f t="array" aca="1" ref="U54" ca="1">IF(T$3="None",0,(INDIRECT("TABLE_WTL[@[" &amp; U$4 &amp; "]]")))</f>
        <v>0</v>
      </c>
      <c r="V54" s="104">
        <f t="shared" si="6"/>
        <v>0</v>
      </c>
      <c r="W54" s="125">
        <v>0</v>
      </c>
      <c r="X54" s="94" cm="1">
        <f t="array" aca="1" ref="X54" ca="1">IF(W$3="None",0,(INDIRECT("TABLE_WTL[@[" &amp; X$4 &amp; "]]")))</f>
        <v>0</v>
      </c>
      <c r="Y54" s="104">
        <f t="shared" si="7"/>
        <v>0</v>
      </c>
      <c r="Z54" s="125">
        <v>0</v>
      </c>
      <c r="AA54" s="94" cm="1">
        <f t="array" aca="1" ref="AA54" ca="1">IF(Z$3="None",0,(INDIRECT("TABLE_WTL[@[" &amp; AA$4 &amp; "]]")))</f>
        <v>0</v>
      </c>
      <c r="AB54" s="104">
        <f t="shared" si="8"/>
        <v>0</v>
      </c>
      <c r="AC54" s="125">
        <v>0</v>
      </c>
      <c r="AD54" s="94" cm="1">
        <f t="array" aca="1" ref="AD54" ca="1">IF(AC$3="None",0,(INDIRECT("TABLE_WTL[@[" &amp; AD$4 &amp; "]]")))</f>
        <v>0</v>
      </c>
      <c r="AE54" s="104">
        <f t="shared" si="9"/>
        <v>0</v>
      </c>
      <c r="AF54" s="125">
        <v>0</v>
      </c>
      <c r="AG54" s="94" cm="1">
        <f t="array" aca="1" ref="AG54" ca="1">IF(AF$3="None",0,(INDIRECT("TABLE_WTL[@[" &amp; AG$4 &amp; "]]")))</f>
        <v>0</v>
      </c>
      <c r="AH54" s="104">
        <f t="shared" si="10"/>
        <v>0</v>
      </c>
      <c r="AI54" s="125">
        <v>0</v>
      </c>
      <c r="AJ54" s="94" cm="1">
        <f t="array" aca="1" ref="AJ54" ca="1">IF(AI$3="None",0,(INDIRECT("TABLE_WTL[@[" &amp; AJ$4 &amp; "]]")))</f>
        <v>0</v>
      </c>
      <c r="AK54" s="104">
        <f t="shared" si="11"/>
        <v>0</v>
      </c>
      <c r="AL54" s="125">
        <v>0</v>
      </c>
      <c r="AM54" s="94" cm="1">
        <f t="array" aca="1" ref="AM54" ca="1">IF(AL$3="None",0,(INDIRECT("TABLE_WTL[@[" &amp; AM$4 &amp; "]]")))</f>
        <v>0</v>
      </c>
      <c r="AN54" s="104">
        <f t="shared" si="12"/>
        <v>0</v>
      </c>
      <c r="AO54" s="125">
        <v>0</v>
      </c>
      <c r="AP54" s="94" cm="1">
        <f t="array" aca="1" ref="AP54" ca="1">IF(AO$3="None",0,(INDIRECT("TABLE_WTL[@[" &amp; AP$4 &amp; "]]")))</f>
        <v>0</v>
      </c>
      <c r="AQ54" s="105"/>
      <c r="AR54" s="128"/>
      <c r="AS54" s="132"/>
      <c r="AT54" s="132"/>
      <c r="AU54" s="132"/>
      <c r="AV54" s="132"/>
      <c r="AW54" s="132"/>
      <c r="AX54" s="133"/>
      <c r="AY54" s="105"/>
      <c r="AZ54" s="148"/>
      <c r="BA54" s="63"/>
      <c r="BB54" s="141"/>
      <c r="BC54" s="142"/>
      <c r="BD54" s="142"/>
      <c r="BE54" s="142"/>
      <c r="BF54" s="142"/>
      <c r="BG54" s="142"/>
      <c r="BH54" s="142"/>
      <c r="BI54" s="143"/>
      <c r="BJ54" s="63"/>
      <c r="BK54" s="96">
        <f>N54/ATP_Conditions!$C$8</f>
        <v>3.2857142857142856</v>
      </c>
    </row>
    <row r="55" spans="1:63" ht="15" thickBot="1" x14ac:dyDescent="0.4">
      <c r="A55" s="31">
        <f t="shared" si="13"/>
        <v>51</v>
      </c>
      <c r="B55" s="97">
        <f t="shared" ref="B55:B57" si="18">WEEKNUM(C55,2)</f>
        <v>51</v>
      </c>
      <c r="C55" s="98">
        <f t="shared" si="14"/>
        <v>46370</v>
      </c>
      <c r="D55" s="99"/>
      <c r="E55" s="100" t="str">
        <f>_xlfn.IFNA(VLOOKUP(D55,Race_Calendar!D:F,2,FALSE),"-")</f>
        <v>-</v>
      </c>
      <c r="F55" s="97"/>
      <c r="G55" s="245" t="str">
        <f>_xlfn.IFNA(VLOOKUP(D55,Race_Calendar!D:H,4,FALSE),"-")</f>
        <v>-</v>
      </c>
      <c r="H55" s="101"/>
      <c r="I55" s="121" t="s">
        <v>77</v>
      </c>
      <c r="J55" s="124"/>
      <c r="K55" s="123" t="str">
        <f t="shared" si="15"/>
        <v>Trans</v>
      </c>
      <c r="L55" s="102"/>
      <c r="M55" s="99"/>
      <c r="N55" s="103">
        <f>VLOOKUP(K55,ATP_Conditions!M:N,2,FALSE)</f>
        <v>230</v>
      </c>
      <c r="O55" s="31">
        <f>SUM(T55,W55,Z55,AC55,AF55,AI55,AL55,AO55)+ATP_Conditions!$C$7</f>
        <v>50</v>
      </c>
      <c r="P55" s="32">
        <f t="shared" ca="1" si="16"/>
        <v>0</v>
      </c>
      <c r="Q55" s="91">
        <f t="shared" si="17"/>
        <v>-180</v>
      </c>
      <c r="R55" s="92">
        <f t="shared" ca="1" si="4"/>
        <v>-230</v>
      </c>
      <c r="S55" s="104"/>
      <c r="T55" s="125">
        <v>50</v>
      </c>
      <c r="U55" s="94"/>
      <c r="V55" s="104"/>
      <c r="W55" s="125">
        <v>0</v>
      </c>
      <c r="X55" s="94" cm="1">
        <f t="array" aca="1" ref="X55" ca="1">IF(W$3="None",0,(INDIRECT("TABLE_WTL[@[" &amp; X$4 &amp; "]]")))</f>
        <v>0</v>
      </c>
      <c r="Y55" s="104"/>
      <c r="Z55" s="125">
        <v>0</v>
      </c>
      <c r="AA55" s="94" cm="1">
        <f t="array" aca="1" ref="AA55" ca="1">IF(Z$3="None",0,(INDIRECT("TABLE_WTL[@[" &amp; AA$4 &amp; "]]")))</f>
        <v>0</v>
      </c>
      <c r="AB55" s="104">
        <f t="shared" ref="AB55:AB57" si="19">MROUND(AC55,5)</f>
        <v>0</v>
      </c>
      <c r="AC55" s="125">
        <v>0</v>
      </c>
      <c r="AD55" s="94" cm="1">
        <f t="array" aca="1" ref="AD55" ca="1">IF(AC$3="None",0,(INDIRECT("TABLE_WTL[@[" &amp; AD$4 &amp; "]]")))</f>
        <v>0</v>
      </c>
      <c r="AE55" s="104">
        <f t="shared" ref="AE55:AE57" si="20">MROUND(AF55,5)</f>
        <v>0</v>
      </c>
      <c r="AF55" s="125">
        <v>0</v>
      </c>
      <c r="AG55" s="94" cm="1">
        <f t="array" aca="1" ref="AG55" ca="1">IF(AF$3="None",0,(INDIRECT("TABLE_WTL[@[" &amp; AG$4 &amp; "]]")))</f>
        <v>0</v>
      </c>
      <c r="AH55" s="104">
        <f t="shared" ref="AH55:AH57" si="21">MROUND(AI55,5)</f>
        <v>0</v>
      </c>
      <c r="AI55" s="125">
        <v>0</v>
      </c>
      <c r="AJ55" s="94" cm="1">
        <f t="array" aca="1" ref="AJ55" ca="1">IF(AI$3="None",0,(INDIRECT("TABLE_WTL[@[" &amp; AJ$4 &amp; "]]")))</f>
        <v>0</v>
      </c>
      <c r="AK55" s="104">
        <v>0</v>
      </c>
      <c r="AL55" s="125">
        <v>0</v>
      </c>
      <c r="AM55" s="94" cm="1">
        <f t="array" aca="1" ref="AM55" ca="1">IF(AL$3="None",0,(INDIRECT("TABLE_WTL[@[" &amp; AM$4 &amp; "]]")))</f>
        <v>0</v>
      </c>
      <c r="AN55" s="104">
        <f t="shared" ref="AN55:AN57" si="22">MROUND(AO55,5)</f>
        <v>0</v>
      </c>
      <c r="AO55" s="125">
        <v>0</v>
      </c>
      <c r="AP55" s="94" cm="1">
        <f t="array" aca="1" ref="AP55" ca="1">IF(AO$3="None",0,(INDIRECT("TABLE_WTL[@[" &amp; AP$4 &amp; "]]")))</f>
        <v>0</v>
      </c>
      <c r="AQ55" s="105"/>
      <c r="AR55" s="128"/>
      <c r="AS55" s="132"/>
      <c r="AT55" s="132"/>
      <c r="AU55" s="132"/>
      <c r="AV55" s="132"/>
      <c r="AW55" s="132"/>
      <c r="AX55" s="133"/>
      <c r="AY55" s="105"/>
      <c r="AZ55" s="148"/>
      <c r="BA55" s="63"/>
      <c r="BB55" s="141"/>
      <c r="BC55" s="142"/>
      <c r="BD55" s="142"/>
      <c r="BE55" s="142"/>
      <c r="BF55" s="142"/>
      <c r="BG55" s="142"/>
      <c r="BH55" s="142"/>
      <c r="BI55" s="143"/>
      <c r="BJ55" s="63"/>
      <c r="BK55" s="96"/>
    </row>
    <row r="56" spans="1:63" ht="15" thickBot="1" x14ac:dyDescent="0.4">
      <c r="A56" s="31">
        <f t="shared" si="13"/>
        <v>52</v>
      </c>
      <c r="B56" s="97">
        <f t="shared" ref="B56:B57" si="23">WEEKNUM(C56,2)</f>
        <v>52</v>
      </c>
      <c r="C56" s="98">
        <f t="shared" si="14"/>
        <v>46377</v>
      </c>
      <c r="D56" s="99"/>
      <c r="E56" s="100" t="str">
        <f>_xlfn.IFNA(VLOOKUP(D56,Race_Calendar!D:F,2,FALSE),"-")</f>
        <v>-</v>
      </c>
      <c r="F56" s="97"/>
      <c r="G56" s="245" t="str">
        <f>_xlfn.IFNA(VLOOKUP(D56,Race_Calendar!D:H,4,FALSE),"-")</f>
        <v>-</v>
      </c>
      <c r="H56" s="101"/>
      <c r="I56" s="121" t="s">
        <v>77</v>
      </c>
      <c r="J56" s="124"/>
      <c r="K56" s="123" t="str">
        <f t="shared" si="15"/>
        <v>Trans</v>
      </c>
      <c r="L56" s="102"/>
      <c r="M56" s="99"/>
      <c r="N56" s="103">
        <f>VLOOKUP(K56,ATP_Conditions!M:N,2,FALSE)</f>
        <v>230</v>
      </c>
      <c r="O56" s="31">
        <f>SUM(T56,W56,Z56,AC56,AF56,AI56,AL56,AO56)+ATP_Conditions!$C$7</f>
        <v>50</v>
      </c>
      <c r="P56" s="32">
        <f t="shared" ca="1" si="16"/>
        <v>0</v>
      </c>
      <c r="Q56" s="91">
        <f t="shared" si="17"/>
        <v>-180</v>
      </c>
      <c r="R56" s="92">
        <f t="shared" ca="1" si="4"/>
        <v>-230</v>
      </c>
      <c r="S56" s="104"/>
      <c r="T56" s="125">
        <v>50</v>
      </c>
      <c r="U56" s="94"/>
      <c r="V56" s="104"/>
      <c r="W56" s="125">
        <v>0</v>
      </c>
      <c r="X56" s="94" cm="1">
        <f t="array" aca="1" ref="X56" ca="1">IF(W$3="None",0,(INDIRECT("TABLE_WTL[@[" &amp; X$4 &amp; "]]")))</f>
        <v>0</v>
      </c>
      <c r="Y56" s="104"/>
      <c r="Z56" s="125">
        <v>0</v>
      </c>
      <c r="AA56" s="94" cm="1">
        <f t="array" aca="1" ref="AA56" ca="1">IF(Z$3="None",0,(INDIRECT("TABLE_WTL[@[" &amp; AA$4 &amp; "]]")))</f>
        <v>0</v>
      </c>
      <c r="AB56" s="104">
        <f t="shared" si="19"/>
        <v>0</v>
      </c>
      <c r="AC56" s="125">
        <v>0</v>
      </c>
      <c r="AD56" s="94" cm="1">
        <f t="array" aca="1" ref="AD56" ca="1">IF(AC$3="None",0,(INDIRECT("TABLE_WTL[@[" &amp; AD$4 &amp; "]]")))</f>
        <v>0</v>
      </c>
      <c r="AE56" s="104">
        <f t="shared" si="20"/>
        <v>0</v>
      </c>
      <c r="AF56" s="125">
        <v>0</v>
      </c>
      <c r="AG56" s="94" cm="1">
        <f t="array" aca="1" ref="AG56" ca="1">IF(AF$3="None",0,(INDIRECT("TABLE_WTL[@[" &amp; AG$4 &amp; "]]")))</f>
        <v>0</v>
      </c>
      <c r="AH56" s="104">
        <f t="shared" si="21"/>
        <v>0</v>
      </c>
      <c r="AI56" s="125">
        <v>0</v>
      </c>
      <c r="AJ56" s="94" cm="1">
        <f t="array" aca="1" ref="AJ56" ca="1">IF(AI$3="None",0,(INDIRECT("TABLE_WTL[@[" &amp; AJ$4 &amp; "]]")))</f>
        <v>0</v>
      </c>
      <c r="AK56" s="104">
        <f t="shared" ref="AK55:AK57" si="24">MROUND(AL56,5)</f>
        <v>0</v>
      </c>
      <c r="AL56" s="125">
        <v>0</v>
      </c>
      <c r="AM56" s="94" cm="1">
        <f t="array" aca="1" ref="AM56" ca="1">IF(AL$3="None",0,(INDIRECT("TABLE_WTL[@[" &amp; AM$4 &amp; "]]")))</f>
        <v>0</v>
      </c>
      <c r="AN56" s="104">
        <f t="shared" si="22"/>
        <v>0</v>
      </c>
      <c r="AO56" s="125">
        <v>0</v>
      </c>
      <c r="AP56" s="94" cm="1">
        <f t="array" aca="1" ref="AP56" ca="1">IF(AO$3="None",0,(INDIRECT("TABLE_WTL[@[" &amp; AP$4 &amp; "]]")))</f>
        <v>0</v>
      </c>
      <c r="AQ56" s="105"/>
      <c r="AR56" s="128"/>
      <c r="AS56" s="132"/>
      <c r="AT56" s="132"/>
      <c r="AU56" s="132"/>
      <c r="AV56" s="132"/>
      <c r="AW56" s="132"/>
      <c r="AX56" s="133"/>
      <c r="AY56" s="105"/>
      <c r="AZ56" s="148"/>
      <c r="BA56" s="63"/>
      <c r="BB56" s="141"/>
      <c r="BC56" s="142"/>
      <c r="BD56" s="142"/>
      <c r="BE56" s="142"/>
      <c r="BF56" s="142"/>
      <c r="BG56" s="142"/>
      <c r="BH56" s="142"/>
      <c r="BI56" s="143"/>
      <c r="BJ56" s="63"/>
      <c r="BK56" s="96"/>
    </row>
    <row r="57" spans="1:63" ht="15" thickBot="1" x14ac:dyDescent="0.4">
      <c r="A57" s="229">
        <f t="shared" si="13"/>
        <v>53</v>
      </c>
      <c r="B57" s="230">
        <f t="shared" si="23"/>
        <v>53</v>
      </c>
      <c r="C57" s="231">
        <f t="shared" si="14"/>
        <v>46384</v>
      </c>
      <c r="D57" s="232" t="str">
        <f t="shared" si="1"/>
        <v>53-2026</v>
      </c>
      <c r="E57" s="100" t="str">
        <f>_xlfn.IFNA(VLOOKUP(D57,Race_Calendar!D:F,2,FALSE),"-")</f>
        <v>-</v>
      </c>
      <c r="F57" s="230" t="str">
        <f>_xlfn.IFNA(VLOOKUP($D57,Race_Calendar!$D:$F,3,FALSE),"-")</f>
        <v>-</v>
      </c>
      <c r="G57" s="245" t="str">
        <f>_xlfn.IFNA(VLOOKUP(D57,Race_Calendar!D:H,4,FALSE),"-")</f>
        <v>-</v>
      </c>
      <c r="H57" s="233"/>
      <c r="I57" s="234" t="s">
        <v>77</v>
      </c>
      <c r="J57" s="235"/>
      <c r="K57" s="236" t="str">
        <f t="shared" si="15"/>
        <v>Trans</v>
      </c>
      <c r="L57" s="237"/>
      <c r="M57" s="232"/>
      <c r="N57" s="238">
        <f>VLOOKUP(K57,ATP_Conditions!M:N,2,FALSE)</f>
        <v>230</v>
      </c>
      <c r="O57" s="229">
        <f>SUM(T57,W57,Z57,AC57,AF57,AI57,AL57,AO57)+ATP_Conditions!$C$7</f>
        <v>0</v>
      </c>
      <c r="P57" s="239" t="e">
        <f t="shared" ca="1" si="16"/>
        <v>#REF!</v>
      </c>
      <c r="Q57" s="240">
        <f t="shared" si="17"/>
        <v>-230</v>
      </c>
      <c r="R57" s="92" t="e">
        <f t="shared" ca="1" si="4"/>
        <v>#REF!</v>
      </c>
      <c r="S57" s="104">
        <f t="shared" si="5"/>
        <v>0</v>
      </c>
      <c r="T57" s="125">
        <v>0</v>
      </c>
      <c r="U57" s="94" t="e" cm="1">
        <f t="array" aca="1" ref="U57" ca="1">IF(T$3="None",0,(INDIRECT("TABLE_WTL[@[" &amp; U$4 &amp; "]]")))</f>
        <v>#REF!</v>
      </c>
      <c r="V57" s="104">
        <f t="shared" si="6"/>
        <v>0</v>
      </c>
      <c r="W57" s="125">
        <v>0</v>
      </c>
      <c r="X57" s="94" t="e" cm="1">
        <f t="array" aca="1" ref="X57" ca="1">IF(W$3="None",0,(INDIRECT("TABLE_WTL[@[" &amp; X$4 &amp; "]]")))</f>
        <v>#REF!</v>
      </c>
      <c r="Y57" s="104">
        <f t="shared" si="7"/>
        <v>0</v>
      </c>
      <c r="Z57" s="125">
        <v>0</v>
      </c>
      <c r="AA57" s="94" t="e" cm="1">
        <f t="array" aca="1" ref="AA57" ca="1">IF(Z$3="None",0,(INDIRECT("TABLE_WTL[@[" &amp; AA$4 &amp; "]]")))</f>
        <v>#REF!</v>
      </c>
      <c r="AB57" s="104">
        <f t="shared" si="19"/>
        <v>0</v>
      </c>
      <c r="AC57" s="125">
        <v>0</v>
      </c>
      <c r="AD57" s="94" t="e" cm="1">
        <f t="array" aca="1" ref="AD57" ca="1">IF(AC$3="None",0,(INDIRECT("TABLE_WTL[@[" &amp; AD$4 &amp; "]]")))</f>
        <v>#REF!</v>
      </c>
      <c r="AE57" s="104">
        <f t="shared" si="20"/>
        <v>0</v>
      </c>
      <c r="AF57" s="125">
        <v>0</v>
      </c>
      <c r="AG57" s="94" t="e" cm="1">
        <f t="array" aca="1" ref="AG57" ca="1">IF(AF$3="None",0,(INDIRECT("TABLE_WTL[@[" &amp; AG$4 &amp; "]]")))</f>
        <v>#REF!</v>
      </c>
      <c r="AH57" s="104">
        <f t="shared" si="21"/>
        <v>0</v>
      </c>
      <c r="AI57" s="125">
        <v>0</v>
      </c>
      <c r="AJ57" s="94" t="e" cm="1">
        <f t="array" aca="1" ref="AJ57" ca="1">IF(AI$3="None",0,(INDIRECT("TABLE_WTL[@[" &amp; AJ$4 &amp; "]]")))</f>
        <v>#REF!</v>
      </c>
      <c r="AK57" s="104">
        <f t="shared" si="24"/>
        <v>0</v>
      </c>
      <c r="AL57" s="125">
        <v>0</v>
      </c>
      <c r="AM57" s="94" cm="1">
        <f t="array" aca="1" ref="AM57" ca="1">IF(AL$3="None",0,(INDIRECT("TABLE_WTL[@[" &amp; AM$4 &amp; "]]")))</f>
        <v>0</v>
      </c>
      <c r="AN57" s="104">
        <f t="shared" si="22"/>
        <v>0</v>
      </c>
      <c r="AO57" s="125">
        <v>0</v>
      </c>
      <c r="AP57" s="94" cm="1">
        <f t="array" aca="1" ref="AP57" ca="1">IF(AO$3="None",0,(INDIRECT("TABLE_WTL[@[" &amp; AP$4 &amp; "]]")))</f>
        <v>0</v>
      </c>
      <c r="AQ57" s="105"/>
      <c r="AR57" s="128"/>
      <c r="AS57" s="132"/>
      <c r="AT57" s="132"/>
      <c r="AU57" s="132"/>
      <c r="AV57" s="132"/>
      <c r="AW57" s="132"/>
      <c r="AX57" s="133"/>
      <c r="AY57" s="105"/>
      <c r="AZ57" s="148"/>
      <c r="BA57" s="63"/>
      <c r="BB57" s="141"/>
      <c r="BC57" s="142"/>
      <c r="BD57" s="142"/>
      <c r="BE57" s="142"/>
      <c r="BF57" s="142"/>
      <c r="BG57" s="142"/>
      <c r="BH57" s="142"/>
      <c r="BI57" s="143"/>
      <c r="BJ57" s="63"/>
      <c r="BK57" s="96">
        <f>N57/ATP_Conditions!$C$8</f>
        <v>3.2857142857142856</v>
      </c>
    </row>
    <row r="58" spans="1:63" x14ac:dyDescent="0.35">
      <c r="A58" s="242"/>
      <c r="B58" s="242"/>
      <c r="C58" s="243"/>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6"/>
      <c r="I120"/>
      <c r="J120" s="117"/>
      <c r="K120" s="117"/>
      <c r="M120" s="118"/>
      <c r="N120" s="118"/>
      <c r="O120" s="118"/>
      <c r="P120" s="118"/>
      <c r="Q120" s="118"/>
      <c r="R120" s="118"/>
      <c r="S120" s="118"/>
      <c r="T120" s="118"/>
      <c r="U120" s="118"/>
      <c r="V120" s="118"/>
      <c r="W120" s="118"/>
      <c r="X120" s="118"/>
      <c r="Y120" s="118"/>
      <c r="Z120" s="118"/>
      <c r="AA120" s="118"/>
      <c r="AB120" s="118"/>
      <c r="AC120" s="118"/>
      <c r="AD120" s="118"/>
      <c r="AE120" s="118"/>
      <c r="AF120" s="118"/>
      <c r="AG120" s="118"/>
      <c r="AH120" s="118"/>
      <c r="AI120" s="118"/>
      <c r="AJ120" s="118"/>
      <c r="AK120" s="118"/>
      <c r="AL120" s="118"/>
      <c r="AM120" s="118"/>
      <c r="AN120" s="118"/>
      <c r="AO120" s="118"/>
      <c r="AP120" s="118"/>
      <c r="AQ120" s="118"/>
      <c r="AR120" s="118"/>
      <c r="AY120" s="118"/>
      <c r="AZ120" s="118"/>
    </row>
    <row r="121" spans="3:52" x14ac:dyDescent="0.35">
      <c r="J121" s="117"/>
      <c r="K121" s="117"/>
    </row>
  </sheetData>
  <mergeCells count="19">
    <mergeCell ref="I3:I4"/>
    <mergeCell ref="J3:J4"/>
    <mergeCell ref="A3:A4"/>
    <mergeCell ref="B3:B4"/>
    <mergeCell ref="C3:C4"/>
    <mergeCell ref="D3:D4"/>
    <mergeCell ref="E3:E4"/>
    <mergeCell ref="T2:AP2"/>
    <mergeCell ref="O3:R3"/>
    <mergeCell ref="AR3:AX3"/>
    <mergeCell ref="BB3:BI3"/>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18" priority="31"/>
  </conditionalFormatting>
  <conditionalFormatting sqref="I5:K57">
    <cfRule type="expression" dxfId="17" priority="5">
      <formula>$I5="Build 2"</formula>
    </cfRule>
    <cfRule type="expression" dxfId="16" priority="6">
      <formula>$I5="Build 1"</formula>
    </cfRule>
    <cfRule type="expression" dxfId="15" priority="7">
      <formula>$I5="Base 3"</formula>
    </cfRule>
    <cfRule type="expression" dxfId="14" priority="8">
      <formula>$I5="Base 1"</formula>
    </cfRule>
    <cfRule type="expression" dxfId="13" priority="9">
      <formula>$I5="Base 2"</formula>
    </cfRule>
    <cfRule type="expression" dxfId="12" priority="10">
      <formula>$I5="Taper"</formula>
    </cfRule>
    <cfRule type="expression" dxfId="11" priority="11">
      <formula>$I5="Trans"</formula>
    </cfRule>
    <cfRule type="expression" dxfId="10" priority="12">
      <formula>$I5="Prep"</formula>
    </cfRule>
    <cfRule type="expression" dxfId="9" priority="13">
      <formula>$I5="Race"</formula>
    </cfRule>
    <cfRule type="expression" dxfId="8" priority="14">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5" id="{9C5701A1-58F4-44C2-8290-64495728A5B3}">
            <xm:f>AND(Q5&gt;=-(ATP_Conditions!$C$10),Q5&lt;=(ATP_Conditions!$C$10))</xm:f>
            <x14:dxf>
              <fill>
                <patternFill>
                  <bgColor rgb="FF92D050"/>
                </patternFill>
              </fill>
            </x14:dxf>
          </x14:cfRule>
          <x14:cfRule type="expression" priority="146" id="{8DE8FE13-A010-4575-AFF4-A09D4DFC9F34}">
            <xm:f>AND(Q5&gt;(ATP_Conditions!$C$10),Q5&lt;(ATP_Conditions!$C$11))</xm:f>
            <x14:dxf>
              <fill>
                <patternFill>
                  <bgColor rgb="FFFFC000"/>
                </patternFill>
              </fill>
            </x14:dxf>
          </x14:cfRule>
          <x14:cfRule type="expression" priority="147" id="{8E3AA47F-3CCD-4C4F-AB64-1CC74108A573}">
            <xm:f>Q5&gt;=(ATP_Conditions!$C$11)</xm:f>
            <x14:dxf>
              <fill>
                <patternFill>
                  <bgColor rgb="FFFF0000"/>
                </patternFill>
              </fill>
            </x14:dxf>
          </x14:cfRule>
          <x14:cfRule type="expression" priority="148" id="{50AE348A-97CA-4D54-9C50-978AA5191F0B}">
            <xm:f>Q5&lt;=-(ATP_Conditions!$C$11)</xm:f>
            <x14:dxf>
              <fill>
                <patternFill>
                  <bgColor rgb="FFFF0000"/>
                </patternFill>
              </fill>
            </x14:dxf>
          </x14:cfRule>
          <x14:cfRule type="expression" priority="149"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3"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2"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1"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E8BF063A-8F53-4953-8EFE-FB0D2A72F5E5}">
          <x14:formula1>
            <xm:f>Lists!$G$2:$G$13</xm:f>
          </x14:formula1>
          <xm:sqref>T3:U3 W3:X3 AO3:AP3 Z3:AA3 AC3:AD3 AI3:AJ3 AL3:AM3 AF3:AG3</xm:sqref>
        </x14:dataValidation>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C53"/>
  <sheetViews>
    <sheetView workbookViewId="0">
      <selection activeCell="AF1" sqref="AF1"/>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4" width="3.36328125" bestFit="1" customWidth="1"/>
    <col min="15" max="18" width="3.1796875" customWidth="1"/>
    <col min="19" max="19" width="3.36328125" bestFit="1" customWidth="1"/>
    <col min="20" max="20" width="3.1796875" customWidth="1"/>
    <col min="21" max="21" width="3.54296875" customWidth="1"/>
    <col min="22" max="22" width="3.81640625" bestFit="1" customWidth="1"/>
    <col min="23" max="23" width="3.36328125" bestFit="1" customWidth="1"/>
    <col min="24" max="25" width="3.81640625" bestFit="1" customWidth="1"/>
    <col min="26" max="29" width="3.36328125" bestFit="1" customWidth="1"/>
  </cols>
  <sheetData>
    <row r="1" spans="1:29" ht="149" thickBot="1" x14ac:dyDescent="0.4">
      <c r="A1" s="81" t="s">
        <v>12</v>
      </c>
      <c r="B1" s="81" t="s">
        <v>27</v>
      </c>
      <c r="C1" s="81" t="s">
        <v>13</v>
      </c>
      <c r="D1" s="81" t="s">
        <v>28</v>
      </c>
      <c r="E1" s="81" t="s">
        <v>31</v>
      </c>
      <c r="F1" s="81" t="s">
        <v>30</v>
      </c>
      <c r="G1" s="81" t="s">
        <v>5</v>
      </c>
      <c r="H1" s="81" t="s">
        <v>6</v>
      </c>
      <c r="I1" s="81" t="s">
        <v>23</v>
      </c>
      <c r="J1" s="81" t="s">
        <v>7</v>
      </c>
      <c r="K1" s="81" t="s">
        <v>8</v>
      </c>
      <c r="L1" s="81" t="s">
        <v>9</v>
      </c>
      <c r="M1" s="81" t="s">
        <v>10</v>
      </c>
      <c r="N1" s="78" t="s">
        <v>237</v>
      </c>
      <c r="O1" s="79" t="s">
        <v>238</v>
      </c>
      <c r="P1" s="79" t="s">
        <v>244</v>
      </c>
      <c r="Q1" s="79" t="s">
        <v>239</v>
      </c>
      <c r="R1" s="79" t="s">
        <v>240</v>
      </c>
      <c r="S1" s="79" t="s">
        <v>241</v>
      </c>
      <c r="T1" s="79" t="s">
        <v>242</v>
      </c>
      <c r="U1" s="80" t="s">
        <v>243</v>
      </c>
      <c r="V1" s="81" t="str">
        <f>ATP_fill!T4</f>
        <v>Run_load_target</v>
      </c>
      <c r="W1" s="81" t="str">
        <f>ATP_fill!W4</f>
        <v>TrailRun_load_target</v>
      </c>
      <c r="X1" s="81" t="str">
        <f>ATP_fill!Z4</f>
        <v>Ride_load_target</v>
      </c>
      <c r="Y1" s="81" t="str">
        <f>ATP_fill!AC4</f>
        <v>MountainBikeRide_load_target</v>
      </c>
      <c r="Z1" s="81" t="str">
        <f>ATP_fill!AF4</f>
        <v>Swim_load_target</v>
      </c>
      <c r="AA1" s="81" t="str">
        <f>ATP_fill!AI4</f>
        <v>OpenWaterSwim_load_target</v>
      </c>
      <c r="AB1" s="81" t="str">
        <f>ATP_fill!AL4</f>
        <v>None_load_target</v>
      </c>
      <c r="AC1" s="81" t="str">
        <f>ATP_fill!AO4</f>
        <v>None_load_target</v>
      </c>
    </row>
    <row r="2" spans="1:29" x14ac:dyDescent="0.35">
      <c r="A2" s="4">
        <f>IF(ATP_fill!C5=0,"",ATP_fill!C5)</f>
        <v>46020</v>
      </c>
      <c r="B2" t="str">
        <f>ATP_fill!I5</f>
        <v>Base 1</v>
      </c>
      <c r="C2" t="str">
        <f>ATP_fill!E5</f>
        <v>-</v>
      </c>
      <c r="D2" t="str">
        <f>ATP_fill!F5</f>
        <v>-</v>
      </c>
      <c r="E2" s="2" t="str">
        <f>ATP_fill!G5</f>
        <v>-</v>
      </c>
      <c r="F2" s="12">
        <f>ATP_fill!AZ5</f>
        <v>0</v>
      </c>
      <c r="G2">
        <f>ATP_fill!AR5</f>
        <v>0</v>
      </c>
      <c r="H2">
        <f>ATP_fill!AS5</f>
        <v>0</v>
      </c>
      <c r="I2">
        <f>ATP_fill!AT5</f>
        <v>0</v>
      </c>
      <c r="J2">
        <f>ATP_fill!AU5</f>
        <v>0</v>
      </c>
      <c r="K2">
        <f>ATP_fill!AV5</f>
        <v>0</v>
      </c>
      <c r="L2">
        <f>ATP_fill!AW5</f>
        <v>0</v>
      </c>
      <c r="M2">
        <f>ATP_fill!AX5</f>
        <v>0</v>
      </c>
      <c r="N2" s="1">
        <f>ATP_fill!BB5</f>
        <v>0</v>
      </c>
      <c r="O2" s="1">
        <f>ATP_fill!BC5</f>
        <v>0</v>
      </c>
      <c r="P2" s="1">
        <f>ATP_fill!BD5</f>
        <v>0</v>
      </c>
      <c r="Q2" s="1">
        <f>ATP_fill!BE5</f>
        <v>0</v>
      </c>
      <c r="R2" s="1">
        <f>ATP_fill!BF5</f>
        <v>0</v>
      </c>
      <c r="S2" s="1">
        <f>ATP_fill!BG5</f>
        <v>0</v>
      </c>
      <c r="T2" s="1">
        <f>ATP_fill!BH5</f>
        <v>0</v>
      </c>
      <c r="U2" s="1">
        <f>ATP_fill!BI5</f>
        <v>0</v>
      </c>
      <c r="V2">
        <f>ATP_fill!T5</f>
        <v>350</v>
      </c>
      <c r="W2">
        <f>ATP_fill!W5</f>
        <v>0</v>
      </c>
      <c r="X2">
        <f>ATP_fill!Z5</f>
        <v>150</v>
      </c>
      <c r="Y2">
        <f>ATP_fill!AC5</f>
        <v>150</v>
      </c>
      <c r="Z2">
        <f>ATP_fill!AF5</f>
        <v>0</v>
      </c>
      <c r="AA2">
        <f>ATP_fill!AI5</f>
        <v>0</v>
      </c>
      <c r="AB2">
        <f>ATP_fill!AL5</f>
        <v>0</v>
      </c>
      <c r="AC2">
        <f>ATP_fill!AO5</f>
        <v>0</v>
      </c>
    </row>
    <row r="3" spans="1:29" x14ac:dyDescent="0.35">
      <c r="A3" s="4">
        <f>IF(ATP_fill!C6=0,"",ATP_fill!C6)</f>
        <v>46027</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f>ATP_fill!AW6</f>
        <v>0</v>
      </c>
      <c r="M3">
        <f>ATP_fill!AX6</f>
        <v>1</v>
      </c>
      <c r="N3" s="1">
        <f>ATP_fill!BB6</f>
        <v>0</v>
      </c>
      <c r="O3" s="1">
        <f>ATP_fill!BC6</f>
        <v>0</v>
      </c>
      <c r="P3" s="1">
        <f>ATP_fill!BD6</f>
        <v>0</v>
      </c>
      <c r="Q3" s="1">
        <f>ATP_fill!BE6</f>
        <v>0</v>
      </c>
      <c r="R3" s="1">
        <f>ATP_fill!BF6</f>
        <v>0</v>
      </c>
      <c r="S3" s="1">
        <f>ATP_fill!BG6</f>
        <v>0</v>
      </c>
      <c r="T3" s="1">
        <f>ATP_fill!BH6</f>
        <v>0</v>
      </c>
      <c r="U3" s="1">
        <f>ATP_fill!BI6</f>
        <v>0</v>
      </c>
      <c r="V3">
        <f>ATP_fill!T6</f>
        <v>100</v>
      </c>
      <c r="W3">
        <f>ATP_fill!W6</f>
        <v>0</v>
      </c>
      <c r="X3">
        <f>ATP_fill!Z6</f>
        <v>230</v>
      </c>
      <c r="Y3">
        <f>ATP_fill!AC6</f>
        <v>150</v>
      </c>
      <c r="Z3">
        <f>ATP_fill!AF6</f>
        <v>0</v>
      </c>
      <c r="AA3">
        <f>ATP_fill!AI6</f>
        <v>0</v>
      </c>
      <c r="AB3">
        <f>ATP_fill!AL6</f>
        <v>0</v>
      </c>
      <c r="AC3">
        <f>ATP_fill!AO6</f>
        <v>0</v>
      </c>
    </row>
    <row r="4" spans="1:29" x14ac:dyDescent="0.35">
      <c r="A4" s="4">
        <f>IF(ATP_fill!C7=0,"",ATP_fill!C7)</f>
        <v>46034</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1">
        <f>ATP_fill!BB7</f>
        <v>0</v>
      </c>
      <c r="O4" s="1">
        <f>ATP_fill!BC7</f>
        <v>0</v>
      </c>
      <c r="P4" s="1">
        <f>ATP_fill!BD7</f>
        <v>0</v>
      </c>
      <c r="Q4" s="1">
        <f>ATP_fill!BE7</f>
        <v>0</v>
      </c>
      <c r="R4" s="1">
        <f>ATP_fill!BF7</f>
        <v>0</v>
      </c>
      <c r="S4" s="1">
        <f>ATP_fill!BG7</f>
        <v>0</v>
      </c>
      <c r="T4" s="1">
        <f>ATP_fill!BH7</f>
        <v>0</v>
      </c>
      <c r="U4" s="1">
        <f>ATP_fill!BI7</f>
        <v>0</v>
      </c>
      <c r="V4">
        <f>ATP_fill!T7</f>
        <v>140</v>
      </c>
      <c r="W4">
        <f>ATP_fill!W7</f>
        <v>0</v>
      </c>
      <c r="X4">
        <f>ATP_fill!Z7</f>
        <v>260</v>
      </c>
      <c r="Y4">
        <f>ATP_fill!AC7</f>
        <v>150</v>
      </c>
      <c r="Z4">
        <f>ATP_fill!AF7</f>
        <v>0</v>
      </c>
      <c r="AA4">
        <f>ATP_fill!AI7</f>
        <v>0</v>
      </c>
      <c r="AB4">
        <f>ATP_fill!AL7</f>
        <v>0</v>
      </c>
      <c r="AC4">
        <f>ATP_fill!AO7</f>
        <v>0</v>
      </c>
    </row>
    <row r="5" spans="1:29" x14ac:dyDescent="0.35">
      <c r="A5" s="4">
        <f>IF(ATP_fill!C8=0,"",ATP_fill!C8)</f>
        <v>46041</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1">
        <f>ATP_fill!BB8</f>
        <v>0</v>
      </c>
      <c r="O5" s="1">
        <f>ATP_fill!BC8</f>
        <v>0</v>
      </c>
      <c r="P5" s="1">
        <f>ATP_fill!BD8</f>
        <v>0</v>
      </c>
      <c r="Q5" s="1">
        <f>ATP_fill!BE8</f>
        <v>0</v>
      </c>
      <c r="R5" s="1">
        <f>ATP_fill!BF8</f>
        <v>0</v>
      </c>
      <c r="S5" s="1">
        <f>ATP_fill!BG8</f>
        <v>0</v>
      </c>
      <c r="T5" s="1">
        <f>ATP_fill!BH8</f>
        <v>0</v>
      </c>
      <c r="U5" s="1">
        <f>ATP_fill!BI8</f>
        <v>0</v>
      </c>
      <c r="V5">
        <f>ATP_fill!T8</f>
        <v>100</v>
      </c>
      <c r="W5">
        <f>ATP_fill!W8</f>
        <v>0</v>
      </c>
      <c r="X5">
        <f>ATP_fill!Z8</f>
        <v>150</v>
      </c>
      <c r="Y5">
        <f>ATP_fill!AC8</f>
        <v>150</v>
      </c>
      <c r="Z5">
        <f>ATP_fill!AF8</f>
        <v>0</v>
      </c>
      <c r="AA5">
        <f>ATP_fill!AI8</f>
        <v>0</v>
      </c>
      <c r="AB5">
        <f>ATP_fill!AL8</f>
        <v>0</v>
      </c>
      <c r="AC5">
        <f>ATP_fill!AO8</f>
        <v>0</v>
      </c>
    </row>
    <row r="6" spans="1:29" x14ac:dyDescent="0.35">
      <c r="A6" s="4">
        <f>IF(ATP_fill!C9=0,"",ATP_fill!C9)</f>
        <v>46048</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t="str">
        <f>ATP_fill!AW9</f>
        <v>1</v>
      </c>
      <c r="M6">
        <f>ATP_fill!AX9</f>
        <v>0</v>
      </c>
      <c r="N6" s="1">
        <f>ATP_fill!BB9</f>
        <v>0</v>
      </c>
      <c r="O6" s="1">
        <f>ATP_fill!BC9</f>
        <v>0</v>
      </c>
      <c r="P6" s="1">
        <f>ATP_fill!BD9</f>
        <v>0</v>
      </c>
      <c r="Q6" s="1">
        <f>ATP_fill!BE9</f>
        <v>0</v>
      </c>
      <c r="R6" s="1">
        <f>ATP_fill!BF9</f>
        <v>0</v>
      </c>
      <c r="S6" s="1">
        <f>ATP_fill!BG9</f>
        <v>0</v>
      </c>
      <c r="T6" s="1">
        <f>ATP_fill!BH9</f>
        <v>0</v>
      </c>
      <c r="U6" s="1">
        <f>ATP_fill!BI9</f>
        <v>0</v>
      </c>
      <c r="V6">
        <f>ATP_fill!T9</f>
        <v>150</v>
      </c>
      <c r="W6">
        <f>ATP_fill!W9</f>
        <v>0</v>
      </c>
      <c r="X6">
        <f>ATP_fill!Z9</f>
        <v>250</v>
      </c>
      <c r="Y6">
        <f>ATP_fill!AC9</f>
        <v>150</v>
      </c>
      <c r="Z6">
        <f>ATP_fill!AF9</f>
        <v>0</v>
      </c>
      <c r="AA6">
        <f>ATP_fill!AI9</f>
        <v>0</v>
      </c>
      <c r="AB6">
        <f>ATP_fill!AL9</f>
        <v>0</v>
      </c>
      <c r="AC6">
        <f>ATP_fill!AO9</f>
        <v>0</v>
      </c>
    </row>
    <row r="7" spans="1:29" x14ac:dyDescent="0.35">
      <c r="A7" s="4">
        <f>IF(ATP_fill!C10=0,"",ATP_fill!C10)</f>
        <v>46055</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1">
        <f>ATP_fill!BB10</f>
        <v>0</v>
      </c>
      <c r="O7" s="1">
        <f>ATP_fill!BC10</f>
        <v>0</v>
      </c>
      <c r="P7" s="1">
        <f>ATP_fill!BD10</f>
        <v>0</v>
      </c>
      <c r="Q7" s="1">
        <f>ATP_fill!BE10</f>
        <v>0</v>
      </c>
      <c r="R7" s="1">
        <f>ATP_fill!BF10</f>
        <v>0</v>
      </c>
      <c r="S7" s="1">
        <f>ATP_fill!BG10</f>
        <v>0</v>
      </c>
      <c r="T7" s="1">
        <f>ATP_fill!BH10</f>
        <v>0</v>
      </c>
      <c r="U7" s="1">
        <f>ATP_fill!BI10</f>
        <v>0</v>
      </c>
      <c r="V7">
        <f>ATP_fill!T10</f>
        <v>170</v>
      </c>
      <c r="W7">
        <f>ATP_fill!W10</f>
        <v>0</v>
      </c>
      <c r="X7">
        <f>ATP_fill!Z10</f>
        <v>300</v>
      </c>
      <c r="Y7">
        <f>ATP_fill!AC10</f>
        <v>150</v>
      </c>
      <c r="Z7">
        <f>ATP_fill!AF10</f>
        <v>0</v>
      </c>
      <c r="AA7">
        <f>ATP_fill!AI10</f>
        <v>0</v>
      </c>
      <c r="AB7">
        <f>ATP_fill!AL10</f>
        <v>0</v>
      </c>
      <c r="AC7">
        <f>ATP_fill!AO10</f>
        <v>0</v>
      </c>
    </row>
    <row r="8" spans="1:29" x14ac:dyDescent="0.35">
      <c r="A8" s="4">
        <f>IF(ATP_fill!C11=0,"",ATP_fill!C11)</f>
        <v>46062</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t="str">
        <f>ATP_fill!AW11</f>
        <v>1</v>
      </c>
      <c r="M8">
        <f>ATP_fill!AX11</f>
        <v>0</v>
      </c>
      <c r="N8" s="1">
        <f>ATP_fill!BB11</f>
        <v>0</v>
      </c>
      <c r="O8" s="1">
        <f>ATP_fill!BC11</f>
        <v>0</v>
      </c>
      <c r="P8" s="1">
        <f>ATP_fill!BD11</f>
        <v>0</v>
      </c>
      <c r="Q8" s="1">
        <f>ATP_fill!BE11</f>
        <v>0</v>
      </c>
      <c r="R8" s="1">
        <f>ATP_fill!BF11</f>
        <v>0</v>
      </c>
      <c r="S8" s="1">
        <f>ATP_fill!BG11</f>
        <v>0</v>
      </c>
      <c r="T8" s="1">
        <f>ATP_fill!BH11</f>
        <v>0</v>
      </c>
      <c r="U8" s="1">
        <f>ATP_fill!BI11</f>
        <v>0</v>
      </c>
      <c r="V8">
        <f>ATP_fill!T11</f>
        <v>200</v>
      </c>
      <c r="W8">
        <f>ATP_fill!W11</f>
        <v>0</v>
      </c>
      <c r="X8">
        <f>ATP_fill!Z11</f>
        <v>300</v>
      </c>
      <c r="Y8">
        <f>ATP_fill!AC11</f>
        <v>180</v>
      </c>
      <c r="Z8">
        <f>ATP_fill!AF11</f>
        <v>0</v>
      </c>
      <c r="AA8">
        <f>ATP_fill!AI11</f>
        <v>0</v>
      </c>
      <c r="AB8">
        <f>ATP_fill!AL11</f>
        <v>0</v>
      </c>
      <c r="AC8">
        <f>ATP_fill!AO11</f>
        <v>0</v>
      </c>
    </row>
    <row r="9" spans="1:29" x14ac:dyDescent="0.35">
      <c r="A9" s="4">
        <f>IF(ATP_fill!C12=0,"",ATP_fill!C12)</f>
        <v>46069</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1">
        <f>ATP_fill!BB12</f>
        <v>0</v>
      </c>
      <c r="O9" s="1">
        <f>ATP_fill!BC12</f>
        <v>0</v>
      </c>
      <c r="P9" s="1">
        <f>ATP_fill!BD12</f>
        <v>0</v>
      </c>
      <c r="Q9" s="1">
        <f>ATP_fill!BE12</f>
        <v>0</v>
      </c>
      <c r="R9" s="1">
        <f>ATP_fill!BF12</f>
        <v>0</v>
      </c>
      <c r="S9" s="1">
        <f>ATP_fill!BG12</f>
        <v>0</v>
      </c>
      <c r="T9" s="1">
        <f>ATP_fill!BH12</f>
        <v>0</v>
      </c>
      <c r="U9" s="1">
        <f>ATP_fill!BI12</f>
        <v>0</v>
      </c>
      <c r="V9">
        <f>ATP_fill!T12</f>
        <v>100</v>
      </c>
      <c r="W9">
        <f>ATP_fill!W12</f>
        <v>0</v>
      </c>
      <c r="X9">
        <f>ATP_fill!Z12</f>
        <v>150</v>
      </c>
      <c r="Y9">
        <f>ATP_fill!AC12</f>
        <v>150</v>
      </c>
      <c r="Z9">
        <f>ATP_fill!AF12</f>
        <v>0</v>
      </c>
      <c r="AA9">
        <f>ATP_fill!AI12</f>
        <v>0</v>
      </c>
      <c r="AB9">
        <f>ATP_fill!AL12</f>
        <v>0</v>
      </c>
      <c r="AC9">
        <f>ATP_fill!AO12</f>
        <v>0</v>
      </c>
    </row>
    <row r="10" spans="1:29" x14ac:dyDescent="0.35">
      <c r="A10" s="4">
        <f>IF(ATP_fill!C13=0,"",ATP_fill!C13)</f>
        <v>46076</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1">
        <f>ATP_fill!BB13</f>
        <v>0</v>
      </c>
      <c r="O10" s="1">
        <f>ATP_fill!BC13</f>
        <v>0</v>
      </c>
      <c r="P10" s="1">
        <f>ATP_fill!BD13</f>
        <v>0</v>
      </c>
      <c r="Q10" s="1">
        <f>ATP_fill!BE13</f>
        <v>0</v>
      </c>
      <c r="R10" s="1">
        <f>ATP_fill!BF13</f>
        <v>0</v>
      </c>
      <c r="S10" s="1">
        <f>ATP_fill!BG13</f>
        <v>0</v>
      </c>
      <c r="T10" s="1">
        <f>ATP_fill!BH13</f>
        <v>0</v>
      </c>
      <c r="U10" s="1">
        <f>ATP_fill!BI13</f>
        <v>0</v>
      </c>
      <c r="V10">
        <f>ATP_fill!T13</f>
        <v>200</v>
      </c>
      <c r="W10">
        <f>ATP_fill!W13</f>
        <v>0</v>
      </c>
      <c r="X10">
        <f>ATP_fill!Z13</f>
        <v>220</v>
      </c>
      <c r="Y10">
        <f>ATP_fill!AC13</f>
        <v>150</v>
      </c>
      <c r="Z10">
        <f>ATP_fill!AF13</f>
        <v>30</v>
      </c>
      <c r="AA10">
        <f>ATP_fill!AI13</f>
        <v>0</v>
      </c>
      <c r="AB10">
        <f>ATP_fill!AL13</f>
        <v>0</v>
      </c>
      <c r="AC10">
        <f>ATP_fill!AO13</f>
        <v>0</v>
      </c>
    </row>
    <row r="11" spans="1:29" x14ac:dyDescent="0.35">
      <c r="A11" s="4">
        <f>IF(ATP_fill!C14=0,"",ATP_fill!C14)</f>
        <v>46083</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t="e">
        <f>ATP_fill!#REF!</f>
        <v>#REF!</v>
      </c>
      <c r="M11">
        <f>ATP_fill!AX14</f>
        <v>0</v>
      </c>
      <c r="N11" s="1">
        <f>ATP_fill!BB14</f>
        <v>0</v>
      </c>
      <c r="O11" s="1">
        <f>ATP_fill!BC14</f>
        <v>0</v>
      </c>
      <c r="P11" s="1">
        <f>ATP_fill!BD14</f>
        <v>0</v>
      </c>
      <c r="Q11" s="1">
        <f>ATP_fill!BE14</f>
        <v>0</v>
      </c>
      <c r="R11" s="1">
        <f>ATP_fill!BF14</f>
        <v>0</v>
      </c>
      <c r="S11" s="1">
        <f>ATP_fill!BG14</f>
        <v>0</v>
      </c>
      <c r="T11" s="1">
        <f>ATP_fill!BH14</f>
        <v>0</v>
      </c>
      <c r="U11" s="1">
        <f>ATP_fill!BI14</f>
        <v>0</v>
      </c>
      <c r="V11">
        <f>ATP_fill!T14</f>
        <v>200</v>
      </c>
      <c r="W11">
        <f>ATP_fill!W14</f>
        <v>0</v>
      </c>
      <c r="X11">
        <f>ATP_fill!Z14</f>
        <v>220</v>
      </c>
      <c r="Y11">
        <f>ATP_fill!AC14</f>
        <v>150</v>
      </c>
      <c r="Z11">
        <f>ATP_fill!AF14</f>
        <v>50</v>
      </c>
      <c r="AA11">
        <f>ATP_fill!AI14</f>
        <v>0</v>
      </c>
      <c r="AB11">
        <f>ATP_fill!AL14</f>
        <v>0</v>
      </c>
      <c r="AC11">
        <f>ATP_fill!AO14</f>
        <v>0</v>
      </c>
    </row>
    <row r="12" spans="1:29" x14ac:dyDescent="0.35">
      <c r="A12" s="4">
        <f>IF(ATP_fill!C15=0,"",ATP_fill!C15)</f>
        <v>46090</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1">
        <f>ATP_fill!BB15</f>
        <v>0</v>
      </c>
      <c r="O12" s="1">
        <f>ATP_fill!BC15</f>
        <v>0</v>
      </c>
      <c r="P12" s="1">
        <f>ATP_fill!BD15</f>
        <v>0</v>
      </c>
      <c r="Q12" s="1">
        <f>ATP_fill!BE15</f>
        <v>0</v>
      </c>
      <c r="R12" s="1">
        <f>ATP_fill!BF15</f>
        <v>0</v>
      </c>
      <c r="S12" s="1">
        <f>ATP_fill!BG15</f>
        <v>0</v>
      </c>
      <c r="T12" s="1">
        <f>ATP_fill!BH15</f>
        <v>0</v>
      </c>
      <c r="U12" s="1">
        <f>ATP_fill!BI15</f>
        <v>0</v>
      </c>
      <c r="V12">
        <f>ATP_fill!T15</f>
        <v>200</v>
      </c>
      <c r="W12">
        <f>ATP_fill!W15</f>
        <v>0</v>
      </c>
      <c r="X12">
        <f>ATP_fill!Z15</f>
        <v>220</v>
      </c>
      <c r="Y12">
        <f>ATP_fill!AC15</f>
        <v>150</v>
      </c>
      <c r="Z12">
        <f>ATP_fill!AF15</f>
        <v>50</v>
      </c>
      <c r="AA12">
        <f>ATP_fill!AI15</f>
        <v>0</v>
      </c>
      <c r="AB12">
        <f>ATP_fill!AL15</f>
        <v>0</v>
      </c>
      <c r="AC12">
        <f>ATP_fill!AO15</f>
        <v>0</v>
      </c>
    </row>
    <row r="13" spans="1:29" x14ac:dyDescent="0.35">
      <c r="A13" s="4">
        <f>IF(ATP_fill!C16=0,"",ATP_fill!C16)</f>
        <v>46097</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1">
        <f>ATP_fill!BB16</f>
        <v>0</v>
      </c>
      <c r="O13" s="1">
        <f>ATP_fill!BC16</f>
        <v>0</v>
      </c>
      <c r="P13" s="1">
        <f>ATP_fill!BD16</f>
        <v>0</v>
      </c>
      <c r="Q13" s="1">
        <f>ATP_fill!BE16</f>
        <v>0</v>
      </c>
      <c r="R13" s="1">
        <f>ATP_fill!BF16</f>
        <v>0</v>
      </c>
      <c r="S13" s="1">
        <f>ATP_fill!BG16</f>
        <v>0</v>
      </c>
      <c r="T13" s="1">
        <f>ATP_fill!BH16</f>
        <v>0</v>
      </c>
      <c r="U13" s="1">
        <f>ATP_fill!BI16</f>
        <v>0</v>
      </c>
      <c r="V13">
        <f>ATP_fill!T16</f>
        <v>120</v>
      </c>
      <c r="W13">
        <f>ATP_fill!W16</f>
        <v>0</v>
      </c>
      <c r="X13">
        <f>ATP_fill!Z16</f>
        <v>100</v>
      </c>
      <c r="Y13">
        <f>ATP_fill!AC16</f>
        <v>150</v>
      </c>
      <c r="Z13">
        <f>ATP_fill!AF16</f>
        <v>30</v>
      </c>
      <c r="AA13">
        <f>ATP_fill!AI16</f>
        <v>0</v>
      </c>
      <c r="AB13">
        <f>ATP_fill!AL16</f>
        <v>0</v>
      </c>
      <c r="AC13">
        <f>ATP_fill!AO16</f>
        <v>0</v>
      </c>
    </row>
    <row r="14" spans="1:29" x14ac:dyDescent="0.35">
      <c r="A14" s="4">
        <f>IF(ATP_fill!C17=0,"",ATP_fill!C17)</f>
        <v>46104</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1">
        <f>ATP_fill!BB17</f>
        <v>0</v>
      </c>
      <c r="O14" s="1">
        <f>ATP_fill!BC17</f>
        <v>0</v>
      </c>
      <c r="P14" s="1">
        <f>ATP_fill!BD17</f>
        <v>0</v>
      </c>
      <c r="Q14" s="1">
        <f>ATP_fill!BE17</f>
        <v>0</v>
      </c>
      <c r="R14" s="1">
        <f>ATP_fill!BF17</f>
        <v>0</v>
      </c>
      <c r="S14" s="1">
        <f>ATP_fill!BG17</f>
        <v>0</v>
      </c>
      <c r="T14" s="1">
        <f>ATP_fill!BH17</f>
        <v>0</v>
      </c>
      <c r="U14" s="1">
        <f>ATP_fill!BI17</f>
        <v>0</v>
      </c>
      <c r="V14">
        <f>ATP_fill!T17</f>
        <v>230</v>
      </c>
      <c r="W14">
        <f>ATP_fill!W17</f>
        <v>0</v>
      </c>
      <c r="X14">
        <f>ATP_fill!Z17</f>
        <v>250</v>
      </c>
      <c r="Y14">
        <f>ATP_fill!AC17</f>
        <v>150</v>
      </c>
      <c r="Z14">
        <f>ATP_fill!AF17</f>
        <v>50</v>
      </c>
      <c r="AA14">
        <f>ATP_fill!AI17</f>
        <v>0</v>
      </c>
      <c r="AB14">
        <f>ATP_fill!AL17</f>
        <v>0</v>
      </c>
      <c r="AC14">
        <f>ATP_fill!AO17</f>
        <v>0</v>
      </c>
    </row>
    <row r="15" spans="1:29" x14ac:dyDescent="0.35">
      <c r="A15" s="4">
        <f>IF(ATP_fill!C18=0,"",ATP_fill!C18)</f>
        <v>46111</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t="str">
        <f>ATP_fill!AW18</f>
        <v>1</v>
      </c>
      <c r="M15">
        <f>ATP_fill!AX18</f>
        <v>0</v>
      </c>
      <c r="N15" s="1">
        <f>ATP_fill!BB18</f>
        <v>0</v>
      </c>
      <c r="O15" s="1">
        <f>ATP_fill!BC18</f>
        <v>0</v>
      </c>
      <c r="P15" s="1">
        <f>ATP_fill!BD18</f>
        <v>0</v>
      </c>
      <c r="Q15" s="1">
        <f>ATP_fill!BE18</f>
        <v>0</v>
      </c>
      <c r="R15" s="1">
        <f>ATP_fill!BF18</f>
        <v>0</v>
      </c>
      <c r="S15" s="1">
        <f>ATP_fill!BG18</f>
        <v>0</v>
      </c>
      <c r="T15" s="1">
        <f>ATP_fill!BH18</f>
        <v>0</v>
      </c>
      <c r="U15" s="1">
        <f>ATP_fill!BI18</f>
        <v>0</v>
      </c>
      <c r="V15">
        <f>ATP_fill!T18</f>
        <v>230</v>
      </c>
      <c r="W15">
        <f>ATP_fill!W18</f>
        <v>0</v>
      </c>
      <c r="X15">
        <f>ATP_fill!Z18</f>
        <v>250</v>
      </c>
      <c r="Y15">
        <f>ATP_fill!AC18</f>
        <v>150</v>
      </c>
      <c r="Z15">
        <f>ATP_fill!AF18</f>
        <v>50</v>
      </c>
      <c r="AA15">
        <f>ATP_fill!AI18</f>
        <v>0</v>
      </c>
      <c r="AB15">
        <f>ATP_fill!AL18</f>
        <v>0</v>
      </c>
      <c r="AC15">
        <f>ATP_fill!AO18</f>
        <v>0</v>
      </c>
    </row>
    <row r="16" spans="1:29" x14ac:dyDescent="0.35">
      <c r="A16" s="4">
        <f>IF(ATP_fill!C19=0,"",ATP_fill!C19)</f>
        <v>46118</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1">
        <f>ATP_fill!BB19</f>
        <v>0</v>
      </c>
      <c r="O16" s="1">
        <f>ATP_fill!BC19</f>
        <v>0</v>
      </c>
      <c r="P16" s="1">
        <f>ATP_fill!BD19</f>
        <v>0</v>
      </c>
      <c r="Q16" s="1">
        <f>ATP_fill!BE19</f>
        <v>0</v>
      </c>
      <c r="R16" s="1">
        <f>ATP_fill!BF19</f>
        <v>0</v>
      </c>
      <c r="S16" s="1">
        <f>ATP_fill!BG19</f>
        <v>0</v>
      </c>
      <c r="T16" s="1">
        <f>ATP_fill!BH19</f>
        <v>0</v>
      </c>
      <c r="U16" s="1">
        <f>ATP_fill!BI19</f>
        <v>0</v>
      </c>
      <c r="V16">
        <f>ATP_fill!T19</f>
        <v>230</v>
      </c>
      <c r="W16">
        <f>ATP_fill!W19</f>
        <v>0</v>
      </c>
      <c r="X16">
        <f>ATP_fill!Z19</f>
        <v>250</v>
      </c>
      <c r="Y16">
        <f>ATP_fill!AC19</f>
        <v>150</v>
      </c>
      <c r="Z16">
        <f>ATP_fill!AF19</f>
        <v>50</v>
      </c>
      <c r="AA16">
        <f>ATP_fill!AI19</f>
        <v>0</v>
      </c>
      <c r="AB16">
        <f>ATP_fill!AL19</f>
        <v>0</v>
      </c>
      <c r="AC16">
        <f>ATP_fill!AO19</f>
        <v>0</v>
      </c>
    </row>
    <row r="17" spans="1:29" x14ac:dyDescent="0.35">
      <c r="A17" s="4">
        <f>IF(ATP_fill!C20=0,"",ATP_fill!C20)</f>
        <v>46125</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1">
        <f>ATP_fill!BB20</f>
        <v>0</v>
      </c>
      <c r="O17" s="1">
        <f>ATP_fill!BC20</f>
        <v>0</v>
      </c>
      <c r="P17" s="1">
        <f>ATP_fill!BD20</f>
        <v>0</v>
      </c>
      <c r="Q17" s="1">
        <f>ATP_fill!BE20</f>
        <v>0</v>
      </c>
      <c r="R17" s="1">
        <f>ATP_fill!BF20</f>
        <v>0</v>
      </c>
      <c r="S17" s="1">
        <f>ATP_fill!BG20</f>
        <v>0</v>
      </c>
      <c r="T17" s="1">
        <f>ATP_fill!BH20</f>
        <v>0</v>
      </c>
      <c r="U17" s="1">
        <f>ATP_fill!BI20</f>
        <v>0</v>
      </c>
      <c r="V17">
        <f>ATP_fill!T20</f>
        <v>120</v>
      </c>
      <c r="W17">
        <f>ATP_fill!W20</f>
        <v>0</v>
      </c>
      <c r="X17">
        <f>ATP_fill!Z20</f>
        <v>100</v>
      </c>
      <c r="Y17">
        <f>ATP_fill!AC20</f>
        <v>150</v>
      </c>
      <c r="Z17">
        <f>ATP_fill!AF20</f>
        <v>30</v>
      </c>
      <c r="AA17">
        <f>ATP_fill!AI20</f>
        <v>0</v>
      </c>
      <c r="AB17">
        <f>ATP_fill!AL20</f>
        <v>0</v>
      </c>
      <c r="AC17">
        <f>ATP_fill!AO20</f>
        <v>0</v>
      </c>
    </row>
    <row r="18" spans="1:29" x14ac:dyDescent="0.35">
      <c r="A18" s="4">
        <f>IF(ATP_fill!C21=0,"",ATP_fill!C21)</f>
        <v>46132</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1">
        <f>ATP_fill!BB21</f>
        <v>0</v>
      </c>
      <c r="O18" s="1">
        <f>ATP_fill!BC21</f>
        <v>0</v>
      </c>
      <c r="P18" s="1">
        <f>ATP_fill!BD21</f>
        <v>0</v>
      </c>
      <c r="Q18" s="1">
        <f>ATP_fill!BE21</f>
        <v>0</v>
      </c>
      <c r="R18" s="1">
        <f>ATP_fill!BF21</f>
        <v>0</v>
      </c>
      <c r="S18" s="1">
        <f>ATP_fill!BG21</f>
        <v>0</v>
      </c>
      <c r="T18" s="1">
        <f>ATP_fill!BH21</f>
        <v>0</v>
      </c>
      <c r="U18" s="1">
        <f>ATP_fill!BI21</f>
        <v>0</v>
      </c>
      <c r="V18">
        <f>ATP_fill!T21</f>
        <v>150</v>
      </c>
      <c r="W18">
        <f>ATP_fill!W21</f>
        <v>0</v>
      </c>
      <c r="X18">
        <f>ATP_fill!Z21</f>
        <v>150</v>
      </c>
      <c r="Y18">
        <f>ATP_fill!AC21</f>
        <v>150</v>
      </c>
      <c r="Z18">
        <f>ATP_fill!AF21</f>
        <v>30</v>
      </c>
      <c r="AA18">
        <f>ATP_fill!AI21</f>
        <v>0</v>
      </c>
      <c r="AB18">
        <f>ATP_fill!AL21</f>
        <v>0</v>
      </c>
      <c r="AC18">
        <f>ATP_fill!AO21</f>
        <v>0</v>
      </c>
    </row>
    <row r="19" spans="1:29" x14ac:dyDescent="0.35">
      <c r="A19" s="4">
        <f>IF(ATP_fill!C22=0,"",ATP_fill!C22)</f>
        <v>46139</v>
      </c>
      <c r="B19" t="str">
        <f>ATP_fill!I22</f>
        <v>Race</v>
      </c>
      <c r="C19" t="str">
        <f>ATP_fill!E22</f>
        <v>-</v>
      </c>
      <c r="D19" t="str">
        <f>ATP_fill!F22</f>
        <v>-</v>
      </c>
      <c r="E19" s="2" t="str">
        <f>ATP_fill!G22</f>
        <v>-</v>
      </c>
      <c r="F19" s="12">
        <f>ATP_fill!AZ22</f>
        <v>0</v>
      </c>
      <c r="G19">
        <f>ATP_fill!AR22</f>
        <v>0</v>
      </c>
      <c r="H19">
        <f>ATP_fill!AS22</f>
        <v>0</v>
      </c>
      <c r="I19">
        <f>ATP_fill!AT22</f>
        <v>0</v>
      </c>
      <c r="J19">
        <f>ATP_fill!AU22</f>
        <v>0</v>
      </c>
      <c r="K19">
        <f>ATP_fill!AV22</f>
        <v>0</v>
      </c>
      <c r="L19">
        <f>ATP_fill!AW22</f>
        <v>0</v>
      </c>
      <c r="M19">
        <f>ATP_fill!AX22</f>
        <v>0</v>
      </c>
      <c r="N19" s="1">
        <f>ATP_fill!BB22</f>
        <v>0</v>
      </c>
      <c r="O19" s="1">
        <f>ATP_fill!BC22</f>
        <v>0</v>
      </c>
      <c r="P19" s="1">
        <f>ATP_fill!BD22</f>
        <v>0</v>
      </c>
      <c r="Q19" s="1">
        <f>ATP_fill!BE22</f>
        <v>0</v>
      </c>
      <c r="R19" s="1">
        <f>ATP_fill!BF22</f>
        <v>0</v>
      </c>
      <c r="S19" s="1">
        <f>ATP_fill!BG22</f>
        <v>0</v>
      </c>
      <c r="T19" s="1">
        <f>ATP_fill!BH22</f>
        <v>0</v>
      </c>
      <c r="U19" s="1">
        <f>ATP_fill!BI22</f>
        <v>0</v>
      </c>
      <c r="V19">
        <f>ATP_fill!T22</f>
        <v>100</v>
      </c>
      <c r="W19">
        <f>ATP_fill!W22</f>
        <v>0</v>
      </c>
      <c r="X19">
        <f>ATP_fill!Z22</f>
        <v>150</v>
      </c>
      <c r="Y19">
        <f>ATP_fill!AC22</f>
        <v>150</v>
      </c>
      <c r="Z19">
        <f>ATP_fill!AF22</f>
        <v>0</v>
      </c>
      <c r="AA19">
        <f>ATP_fill!AI22</f>
        <v>0</v>
      </c>
      <c r="AB19">
        <f>ATP_fill!AL22</f>
        <v>0</v>
      </c>
      <c r="AC19">
        <f>ATP_fill!AO22</f>
        <v>0</v>
      </c>
    </row>
    <row r="20" spans="1:29" x14ac:dyDescent="0.35">
      <c r="A20" s="4">
        <f>IF(ATP_fill!C23=0,"",ATP_fill!C23)</f>
        <v>46146</v>
      </c>
      <c r="B20" t="str">
        <f>ATP_fill!I23</f>
        <v>Trans</v>
      </c>
      <c r="C20" t="str">
        <f>ATP_fill!E23</f>
        <v>Go Triatlon Brouwersdam</v>
      </c>
      <c r="D20" t="str">
        <f>ATP_fill!F23</f>
        <v>A</v>
      </c>
      <c r="E20" s="2">
        <f>ATP_fill!G23</f>
        <v>46151</v>
      </c>
      <c r="F20" s="12">
        <f>ATP_fill!AZ23</f>
        <v>0</v>
      </c>
      <c r="G20">
        <f>ATP_fill!AR23</f>
        <v>0</v>
      </c>
      <c r="H20">
        <f>ATP_fill!AS23</f>
        <v>0</v>
      </c>
      <c r="I20">
        <f>ATP_fill!AT23</f>
        <v>0</v>
      </c>
      <c r="J20">
        <f>ATP_fill!AU23</f>
        <v>0</v>
      </c>
      <c r="K20">
        <f>ATP_fill!AV23</f>
        <v>0</v>
      </c>
      <c r="L20">
        <f>ATP_fill!AW23</f>
        <v>0</v>
      </c>
      <c r="M20">
        <f>ATP_fill!AX23</f>
        <v>0</v>
      </c>
      <c r="N20" s="1">
        <f>ATP_fill!BB23</f>
        <v>0</v>
      </c>
      <c r="O20" s="1">
        <f>ATP_fill!BC23</f>
        <v>0</v>
      </c>
      <c r="P20" s="1">
        <f>ATP_fill!BD23</f>
        <v>0</v>
      </c>
      <c r="Q20" s="1">
        <f>ATP_fill!BE23</f>
        <v>0</v>
      </c>
      <c r="R20" s="1">
        <f>ATP_fill!BF23</f>
        <v>0</v>
      </c>
      <c r="S20" s="1">
        <f>ATP_fill!BG23</f>
        <v>0</v>
      </c>
      <c r="T20" s="1">
        <f>ATP_fill!BH23</f>
        <v>0</v>
      </c>
      <c r="U20" s="1">
        <f>ATP_fill!BI23</f>
        <v>0</v>
      </c>
      <c r="V20">
        <f>ATP_fill!T23</f>
        <v>50</v>
      </c>
      <c r="W20">
        <f>ATP_fill!W23</f>
        <v>0</v>
      </c>
      <c r="X20">
        <f>ATP_fill!Z23</f>
        <v>0</v>
      </c>
      <c r="Y20">
        <f>ATP_fill!AC23</f>
        <v>0</v>
      </c>
      <c r="Z20">
        <f>ATP_fill!AF23</f>
        <v>0</v>
      </c>
      <c r="AA20">
        <f>ATP_fill!AI23</f>
        <v>0</v>
      </c>
      <c r="AB20">
        <f>ATP_fill!AL23</f>
        <v>0</v>
      </c>
      <c r="AC20">
        <f>ATP_fill!AO23</f>
        <v>0</v>
      </c>
    </row>
    <row r="21" spans="1:29" x14ac:dyDescent="0.35">
      <c r="A21" s="4">
        <f>IF(ATP_fill!C24=0,"",ATP_fill!C24)</f>
        <v>46153</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1">
        <f>ATP_fill!BB24</f>
        <v>0</v>
      </c>
      <c r="O21" s="1">
        <f>ATP_fill!BC24</f>
        <v>0</v>
      </c>
      <c r="P21" s="1">
        <f>ATP_fill!BD24</f>
        <v>0</v>
      </c>
      <c r="Q21" s="1">
        <f>ATP_fill!BE24</f>
        <v>0</v>
      </c>
      <c r="R21" s="1">
        <f>ATP_fill!BF24</f>
        <v>0</v>
      </c>
      <c r="S21" s="1">
        <f>ATP_fill!BG24</f>
        <v>0</v>
      </c>
      <c r="T21" s="1">
        <f>ATP_fill!BH24</f>
        <v>0</v>
      </c>
      <c r="U21" s="1">
        <f>ATP_fill!BI24</f>
        <v>0</v>
      </c>
      <c r="V21">
        <f>ATP_fill!T24</f>
        <v>50</v>
      </c>
      <c r="W21">
        <f>ATP_fill!W24</f>
        <v>0</v>
      </c>
      <c r="X21">
        <f>ATP_fill!Z24</f>
        <v>0</v>
      </c>
      <c r="Y21">
        <f>ATP_fill!AC24</f>
        <v>0</v>
      </c>
      <c r="Z21">
        <f>ATP_fill!AF24</f>
        <v>0</v>
      </c>
      <c r="AA21">
        <f>ATP_fill!AI24</f>
        <v>0</v>
      </c>
      <c r="AB21">
        <f>ATP_fill!AL24</f>
        <v>0</v>
      </c>
      <c r="AC21">
        <f>ATP_fill!AO24</f>
        <v>0</v>
      </c>
    </row>
    <row r="22" spans="1:29" x14ac:dyDescent="0.35">
      <c r="A22" s="4">
        <f>IF(ATP_fill!C25=0,"",ATP_fill!C25)</f>
        <v>46160</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1">
        <f>ATP_fill!BB25</f>
        <v>0</v>
      </c>
      <c r="O22" s="1">
        <f>ATP_fill!BC25</f>
        <v>0</v>
      </c>
      <c r="P22" s="1">
        <f>ATP_fill!BD25</f>
        <v>0</v>
      </c>
      <c r="Q22" s="1">
        <f>ATP_fill!BE25</f>
        <v>0</v>
      </c>
      <c r="R22" s="1">
        <f>ATP_fill!BF25</f>
        <v>0</v>
      </c>
      <c r="S22" s="1">
        <f>ATP_fill!BG25</f>
        <v>0</v>
      </c>
      <c r="T22" s="1">
        <f>ATP_fill!BH25</f>
        <v>0</v>
      </c>
      <c r="U22" s="1">
        <f>ATP_fill!BI25</f>
        <v>0</v>
      </c>
      <c r="V22">
        <f>ATP_fill!T25</f>
        <v>50</v>
      </c>
      <c r="W22">
        <f>ATP_fill!W25</f>
        <v>0</v>
      </c>
      <c r="X22">
        <f>ATP_fill!Z25</f>
        <v>0</v>
      </c>
      <c r="Y22">
        <f>ATP_fill!AC25</f>
        <v>0</v>
      </c>
      <c r="Z22">
        <f>ATP_fill!AF25</f>
        <v>0</v>
      </c>
      <c r="AA22">
        <f>ATP_fill!AI25</f>
        <v>0</v>
      </c>
      <c r="AB22">
        <f>ATP_fill!AL25</f>
        <v>0</v>
      </c>
      <c r="AC22">
        <f>ATP_fill!AO25</f>
        <v>0</v>
      </c>
    </row>
    <row r="23" spans="1:29" x14ac:dyDescent="0.35">
      <c r="A23" s="4">
        <f>IF(ATP_fill!C26=0,"",ATP_fill!C26)</f>
        <v>46167</v>
      </c>
      <c r="B23" t="str">
        <f>ATP_fill!I26</f>
        <v>Build 1</v>
      </c>
      <c r="C23" t="str">
        <f>ATP_fill!E26</f>
        <v>-</v>
      </c>
      <c r="D23" t="str">
        <f>ATP_fill!F26</f>
        <v>A</v>
      </c>
      <c r="E23" s="2" t="str">
        <f>ATP_fill!G26</f>
        <v>-</v>
      </c>
      <c r="F23" s="12">
        <f>ATP_fill!AZ26</f>
        <v>0</v>
      </c>
      <c r="G23">
        <f>ATP_fill!AR26</f>
        <v>0</v>
      </c>
      <c r="H23">
        <f>ATP_fill!AS26</f>
        <v>0</v>
      </c>
      <c r="I23">
        <f>ATP_fill!AT26</f>
        <v>0</v>
      </c>
      <c r="J23">
        <f>ATP_fill!AU26</f>
        <v>0</v>
      </c>
      <c r="K23">
        <f>ATP_fill!AV26</f>
        <v>0</v>
      </c>
      <c r="L23">
        <f>ATP_fill!AW26</f>
        <v>0</v>
      </c>
      <c r="M23">
        <f>ATP_fill!AX26</f>
        <v>0</v>
      </c>
      <c r="N23" s="1">
        <f>ATP_fill!BB26</f>
        <v>0</v>
      </c>
      <c r="O23" s="1">
        <f>ATP_fill!BC26</f>
        <v>0</v>
      </c>
      <c r="P23" s="1">
        <f>ATP_fill!BD26</f>
        <v>0</v>
      </c>
      <c r="Q23" s="1">
        <f>ATP_fill!BE26</f>
        <v>0</v>
      </c>
      <c r="R23" s="1">
        <f>ATP_fill!BF26</f>
        <v>0</v>
      </c>
      <c r="S23" s="1">
        <f>ATP_fill!BG26</f>
        <v>0</v>
      </c>
      <c r="T23" s="1">
        <f>ATP_fill!BH26</f>
        <v>0</v>
      </c>
      <c r="U23" s="1">
        <f>ATP_fill!BI26</f>
        <v>0</v>
      </c>
      <c r="V23">
        <f>ATP_fill!T26</f>
        <v>50</v>
      </c>
      <c r="W23">
        <f>ATP_fill!W26</f>
        <v>0</v>
      </c>
      <c r="X23">
        <f>ATP_fill!Z26</f>
        <v>0</v>
      </c>
      <c r="Y23">
        <f>ATP_fill!AC26</f>
        <v>0</v>
      </c>
      <c r="Z23">
        <f>ATP_fill!AF26</f>
        <v>0</v>
      </c>
      <c r="AA23">
        <f>ATP_fill!AI26</f>
        <v>0</v>
      </c>
      <c r="AB23">
        <f>ATP_fill!AL26</f>
        <v>0</v>
      </c>
      <c r="AC23">
        <f>ATP_fill!AO26</f>
        <v>0</v>
      </c>
    </row>
    <row r="24" spans="1:29" x14ac:dyDescent="0.35">
      <c r="A24" s="4">
        <f>IF(ATP_fill!C27=0,"",ATP_fill!C27)</f>
        <v>46174</v>
      </c>
      <c r="B24" t="str">
        <f>ATP_fill!I27</f>
        <v>Build 1</v>
      </c>
      <c r="C24" t="str">
        <f>ATP_fill!E27</f>
        <v>Uilentorenloop</v>
      </c>
      <c r="D24" t="str">
        <f>ATP_fill!F27</f>
        <v>C</v>
      </c>
      <c r="E24" s="2">
        <f>ATP_fill!G27</f>
        <v>46179</v>
      </c>
      <c r="F24" s="12">
        <f>ATP_fill!AZ27</f>
        <v>0</v>
      </c>
      <c r="G24">
        <f>ATP_fill!AR27</f>
        <v>0</v>
      </c>
      <c r="H24">
        <f>ATP_fill!AS27</f>
        <v>0</v>
      </c>
      <c r="I24">
        <f>ATP_fill!AT27</f>
        <v>0</v>
      </c>
      <c r="J24">
        <f>ATP_fill!AU27</f>
        <v>0</v>
      </c>
      <c r="K24">
        <f>ATP_fill!AV27</f>
        <v>0</v>
      </c>
      <c r="L24">
        <f>ATP_fill!AW27</f>
        <v>0</v>
      </c>
      <c r="M24">
        <f>ATP_fill!AX27</f>
        <v>0</v>
      </c>
      <c r="N24" s="1">
        <f>ATP_fill!BB27</f>
        <v>0</v>
      </c>
      <c r="O24" s="1">
        <f>ATP_fill!BC27</f>
        <v>0</v>
      </c>
      <c r="P24" s="1">
        <f>ATP_fill!BD27</f>
        <v>0</v>
      </c>
      <c r="Q24" s="1">
        <f>ATP_fill!BE27</f>
        <v>0</v>
      </c>
      <c r="R24" s="1">
        <f>ATP_fill!BF27</f>
        <v>0</v>
      </c>
      <c r="S24" s="1">
        <f>ATP_fill!BG27</f>
        <v>0</v>
      </c>
      <c r="T24" s="1">
        <f>ATP_fill!BH27</f>
        <v>0</v>
      </c>
      <c r="U24" s="1">
        <f>ATP_fill!BI27</f>
        <v>0</v>
      </c>
      <c r="V24">
        <f>ATP_fill!T27</f>
        <v>50</v>
      </c>
      <c r="W24">
        <f>ATP_fill!W27</f>
        <v>0</v>
      </c>
      <c r="X24">
        <f>ATP_fill!Z27</f>
        <v>0</v>
      </c>
      <c r="Y24">
        <f>ATP_fill!AC27</f>
        <v>0</v>
      </c>
      <c r="Z24">
        <f>ATP_fill!AF27</f>
        <v>0</v>
      </c>
      <c r="AA24">
        <f>ATP_fill!AI27</f>
        <v>0</v>
      </c>
      <c r="AB24">
        <f>ATP_fill!AL27</f>
        <v>0</v>
      </c>
      <c r="AC24">
        <f>ATP_fill!AO27</f>
        <v>0</v>
      </c>
    </row>
    <row r="25" spans="1:29" x14ac:dyDescent="0.35">
      <c r="A25" s="4">
        <f>IF(ATP_fill!C28=0,"",ATP_fill!C28)</f>
        <v>46181</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1">
        <f>ATP_fill!BB28</f>
        <v>0</v>
      </c>
      <c r="O25" s="1">
        <f>ATP_fill!BC28</f>
        <v>0</v>
      </c>
      <c r="P25" s="1">
        <f>ATP_fill!BD28</f>
        <v>0</v>
      </c>
      <c r="Q25" s="1">
        <f>ATP_fill!BE28</f>
        <v>0</v>
      </c>
      <c r="R25" s="1">
        <f>ATP_fill!BF28</f>
        <v>0</v>
      </c>
      <c r="S25" s="1">
        <f>ATP_fill!BG28</f>
        <v>0</v>
      </c>
      <c r="T25" s="1">
        <f>ATP_fill!BH28</f>
        <v>0</v>
      </c>
      <c r="U25" s="1">
        <f>ATP_fill!BI28</f>
        <v>0</v>
      </c>
      <c r="V25">
        <f>ATP_fill!T28</f>
        <v>50</v>
      </c>
      <c r="W25">
        <f>ATP_fill!W28</f>
        <v>0</v>
      </c>
      <c r="X25">
        <f>ATP_fill!Z28</f>
        <v>0</v>
      </c>
      <c r="Y25">
        <f>ATP_fill!AC28</f>
        <v>0</v>
      </c>
      <c r="Z25">
        <f>ATP_fill!AF28</f>
        <v>0</v>
      </c>
      <c r="AA25">
        <f>ATP_fill!AI28</f>
        <v>0</v>
      </c>
      <c r="AB25">
        <f>ATP_fill!AL28</f>
        <v>0</v>
      </c>
      <c r="AC25">
        <f>ATP_fill!AO28</f>
        <v>0</v>
      </c>
    </row>
    <row r="26" spans="1:29" x14ac:dyDescent="0.35">
      <c r="A26" s="4">
        <f>IF(ATP_fill!C29=0,"",ATP_fill!C29)</f>
        <v>46188</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1">
        <f>ATP_fill!BB29</f>
        <v>0</v>
      </c>
      <c r="O26" s="1">
        <f>ATP_fill!BC29</f>
        <v>0</v>
      </c>
      <c r="P26" s="1">
        <f>ATP_fill!BD29</f>
        <v>0</v>
      </c>
      <c r="Q26" s="1">
        <f>ATP_fill!BE29</f>
        <v>0</v>
      </c>
      <c r="R26" s="1">
        <f>ATP_fill!BF29</f>
        <v>0</v>
      </c>
      <c r="S26" s="1">
        <f>ATP_fill!BG29</f>
        <v>0</v>
      </c>
      <c r="T26" s="1">
        <f>ATP_fill!BH29</f>
        <v>0</v>
      </c>
      <c r="U26" s="1">
        <f>ATP_fill!BI29</f>
        <v>0</v>
      </c>
      <c r="V26">
        <f>ATP_fill!T29</f>
        <v>50</v>
      </c>
      <c r="W26">
        <f>ATP_fill!W29</f>
        <v>0</v>
      </c>
      <c r="X26">
        <f>ATP_fill!Z29</f>
        <v>0</v>
      </c>
      <c r="Y26">
        <f>ATP_fill!AC29</f>
        <v>0</v>
      </c>
      <c r="Z26">
        <f>ATP_fill!AF29</f>
        <v>0</v>
      </c>
      <c r="AA26">
        <f>ATP_fill!AI29</f>
        <v>0</v>
      </c>
      <c r="AB26">
        <f>ATP_fill!AL29</f>
        <v>0</v>
      </c>
      <c r="AC26">
        <f>ATP_fill!AO29</f>
        <v>0</v>
      </c>
    </row>
    <row r="27" spans="1:29" x14ac:dyDescent="0.35">
      <c r="A27" s="4">
        <f>IF(ATP_fill!C30=0,"",ATP_fill!C30)</f>
        <v>46195</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1">
        <f>ATP_fill!BB30</f>
        <v>0</v>
      </c>
      <c r="O27" s="1">
        <f>ATP_fill!BC30</f>
        <v>0</v>
      </c>
      <c r="P27" s="1">
        <f>ATP_fill!BD30</f>
        <v>0</v>
      </c>
      <c r="Q27" s="1">
        <f>ATP_fill!BE30</f>
        <v>0</v>
      </c>
      <c r="R27" s="1">
        <f>ATP_fill!BF30</f>
        <v>0</v>
      </c>
      <c r="S27" s="1">
        <f>ATP_fill!BG30</f>
        <v>0</v>
      </c>
      <c r="T27" s="1">
        <f>ATP_fill!BH30</f>
        <v>0</v>
      </c>
      <c r="U27" s="1">
        <f>ATP_fill!BI30</f>
        <v>0</v>
      </c>
      <c r="V27">
        <f>ATP_fill!T30</f>
        <v>50</v>
      </c>
      <c r="W27">
        <f>ATP_fill!W30</f>
        <v>0</v>
      </c>
      <c r="X27">
        <f>ATP_fill!Z30</f>
        <v>0</v>
      </c>
      <c r="Y27">
        <f>ATP_fill!AC30</f>
        <v>0</v>
      </c>
      <c r="Z27">
        <f>ATP_fill!AF30</f>
        <v>0</v>
      </c>
      <c r="AA27">
        <f>ATP_fill!AI30</f>
        <v>0</v>
      </c>
      <c r="AB27">
        <f>ATP_fill!AL30</f>
        <v>0</v>
      </c>
      <c r="AC27">
        <f>ATP_fill!AO30</f>
        <v>0</v>
      </c>
    </row>
    <row r="28" spans="1:29" x14ac:dyDescent="0.35">
      <c r="A28" s="4">
        <f>IF(ATP_fill!C31=0,"",ATP_fill!C31)</f>
        <v>46202</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1">
        <f>ATP_fill!BB31</f>
        <v>0</v>
      </c>
      <c r="O28" s="1">
        <f>ATP_fill!BC31</f>
        <v>0</v>
      </c>
      <c r="P28" s="1">
        <f>ATP_fill!BD31</f>
        <v>0</v>
      </c>
      <c r="Q28" s="1">
        <f>ATP_fill!BE31</f>
        <v>0</v>
      </c>
      <c r="R28" s="1">
        <f>ATP_fill!BF31</f>
        <v>0</v>
      </c>
      <c r="S28" s="1">
        <f>ATP_fill!BG31</f>
        <v>0</v>
      </c>
      <c r="T28" s="1">
        <f>ATP_fill!BH31</f>
        <v>0</v>
      </c>
      <c r="U28" s="1">
        <f>ATP_fill!BI31</f>
        <v>0</v>
      </c>
      <c r="V28">
        <f>ATP_fill!T31</f>
        <v>50</v>
      </c>
      <c r="W28">
        <f>ATP_fill!W31</f>
        <v>0</v>
      </c>
      <c r="X28">
        <f>ATP_fill!Z31</f>
        <v>0</v>
      </c>
      <c r="Y28">
        <f>ATP_fill!AC31</f>
        <v>0</v>
      </c>
      <c r="Z28">
        <f>ATP_fill!AF31</f>
        <v>0</v>
      </c>
      <c r="AA28">
        <f>ATP_fill!AI31</f>
        <v>0</v>
      </c>
      <c r="AB28">
        <f>ATP_fill!AL31</f>
        <v>0</v>
      </c>
      <c r="AC28">
        <f>ATP_fill!AO31</f>
        <v>0</v>
      </c>
    </row>
    <row r="29" spans="1:29" x14ac:dyDescent="0.35">
      <c r="A29" s="4">
        <f>IF(ATP_fill!C32=0,"",ATP_fill!C32)</f>
        <v>46209</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1">
        <f>ATP_fill!BB32</f>
        <v>0</v>
      </c>
      <c r="O29" s="1">
        <f>ATP_fill!BC32</f>
        <v>0</v>
      </c>
      <c r="P29" s="1">
        <f>ATP_fill!BD32</f>
        <v>0</v>
      </c>
      <c r="Q29" s="1">
        <f>ATP_fill!BE32</f>
        <v>0</v>
      </c>
      <c r="R29" s="1">
        <f>ATP_fill!BF32</f>
        <v>0</v>
      </c>
      <c r="S29" s="1">
        <f>ATP_fill!BG32</f>
        <v>0</v>
      </c>
      <c r="T29" s="1">
        <f>ATP_fill!BH32</f>
        <v>0</v>
      </c>
      <c r="U29" s="1">
        <f>ATP_fill!BI32</f>
        <v>0</v>
      </c>
      <c r="V29">
        <f>ATP_fill!T32</f>
        <v>50</v>
      </c>
      <c r="W29">
        <f>ATP_fill!W32</f>
        <v>0</v>
      </c>
      <c r="X29">
        <f>ATP_fill!Z32</f>
        <v>0</v>
      </c>
      <c r="Y29">
        <f>ATP_fill!AC32</f>
        <v>0</v>
      </c>
      <c r="Z29">
        <f>ATP_fill!AF32</f>
        <v>0</v>
      </c>
      <c r="AA29">
        <f>ATP_fill!AI32</f>
        <v>0</v>
      </c>
      <c r="AB29">
        <f>ATP_fill!AL32</f>
        <v>0</v>
      </c>
      <c r="AC29">
        <f>ATP_fill!AO32</f>
        <v>0</v>
      </c>
    </row>
    <row r="30" spans="1:29" x14ac:dyDescent="0.35">
      <c r="A30" s="4">
        <f>IF(ATP_fill!C33=0,"",ATP_fill!C33)</f>
        <v>46216</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1">
        <f>ATP_fill!BB33</f>
        <v>0</v>
      </c>
      <c r="O30" s="1">
        <f>ATP_fill!BC33</f>
        <v>0</v>
      </c>
      <c r="P30" s="1">
        <f>ATP_fill!BD33</f>
        <v>0</v>
      </c>
      <c r="Q30" s="1">
        <f>ATP_fill!BE33</f>
        <v>0</v>
      </c>
      <c r="R30" s="1">
        <f>ATP_fill!BF33</f>
        <v>0</v>
      </c>
      <c r="S30" s="1">
        <f>ATP_fill!BG33</f>
        <v>0</v>
      </c>
      <c r="T30" s="1">
        <f>ATP_fill!BH33</f>
        <v>0</v>
      </c>
      <c r="U30" s="1">
        <f>ATP_fill!BI33</f>
        <v>0</v>
      </c>
      <c r="V30">
        <f>ATP_fill!T33</f>
        <v>50</v>
      </c>
      <c r="W30">
        <f>ATP_fill!W33</f>
        <v>0</v>
      </c>
      <c r="X30">
        <f>ATP_fill!Z33</f>
        <v>0</v>
      </c>
      <c r="Y30">
        <f>ATP_fill!AC33</f>
        <v>0</v>
      </c>
      <c r="Z30">
        <f>ATP_fill!AF33</f>
        <v>0</v>
      </c>
      <c r="AA30">
        <f>ATP_fill!AI33</f>
        <v>0</v>
      </c>
      <c r="AB30">
        <f>ATP_fill!AL33</f>
        <v>0</v>
      </c>
      <c r="AC30">
        <f>ATP_fill!AO33</f>
        <v>0</v>
      </c>
    </row>
    <row r="31" spans="1:29" x14ac:dyDescent="0.35">
      <c r="A31" s="4">
        <f>IF(ATP_fill!C34=0,"",ATP_fill!C34)</f>
        <v>46223</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1">
        <f>ATP_fill!BB34</f>
        <v>0</v>
      </c>
      <c r="O31" s="1">
        <f>ATP_fill!BC34</f>
        <v>0</v>
      </c>
      <c r="P31" s="1">
        <f>ATP_fill!BD34</f>
        <v>0</v>
      </c>
      <c r="Q31" s="1">
        <f>ATP_fill!BE34</f>
        <v>0</v>
      </c>
      <c r="R31" s="1">
        <f>ATP_fill!BF34</f>
        <v>0</v>
      </c>
      <c r="S31" s="1">
        <f>ATP_fill!BG34</f>
        <v>0</v>
      </c>
      <c r="T31" s="1">
        <f>ATP_fill!BH34</f>
        <v>0</v>
      </c>
      <c r="U31" s="1">
        <f>ATP_fill!BI34</f>
        <v>0</v>
      </c>
      <c r="V31">
        <f>ATP_fill!T34</f>
        <v>50</v>
      </c>
      <c r="W31">
        <f>ATP_fill!W34</f>
        <v>0</v>
      </c>
      <c r="X31">
        <f>ATP_fill!Z34</f>
        <v>0</v>
      </c>
      <c r="Y31">
        <f>ATP_fill!AC34</f>
        <v>0</v>
      </c>
      <c r="Z31">
        <f>ATP_fill!AF34</f>
        <v>0</v>
      </c>
      <c r="AA31">
        <f>ATP_fill!AI34</f>
        <v>0</v>
      </c>
      <c r="AB31">
        <f>ATP_fill!AL34</f>
        <v>0</v>
      </c>
      <c r="AC31">
        <f>ATP_fill!AO34</f>
        <v>0</v>
      </c>
    </row>
    <row r="32" spans="1:29" x14ac:dyDescent="0.35">
      <c r="A32" s="4">
        <f>IF(ATP_fill!C35=0,"",ATP_fill!C35)</f>
        <v>46230</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1">
        <f>ATP_fill!BB35</f>
        <v>0</v>
      </c>
      <c r="O32" s="1">
        <f>ATP_fill!BC35</f>
        <v>0</v>
      </c>
      <c r="P32" s="1">
        <f>ATP_fill!BD35</f>
        <v>0</v>
      </c>
      <c r="Q32" s="1">
        <f>ATP_fill!BE35</f>
        <v>0</v>
      </c>
      <c r="R32" s="1">
        <f>ATP_fill!BF35</f>
        <v>0</v>
      </c>
      <c r="S32" s="1">
        <f>ATP_fill!BG35</f>
        <v>0</v>
      </c>
      <c r="T32" s="1">
        <f>ATP_fill!BH35</f>
        <v>0</v>
      </c>
      <c r="U32" s="1">
        <f>ATP_fill!BI35</f>
        <v>0</v>
      </c>
      <c r="V32">
        <f>ATP_fill!T35</f>
        <v>50</v>
      </c>
      <c r="W32">
        <f>ATP_fill!W35</f>
        <v>0</v>
      </c>
      <c r="X32">
        <f>ATP_fill!Z35</f>
        <v>0</v>
      </c>
      <c r="Y32">
        <f>ATP_fill!AC35</f>
        <v>0</v>
      </c>
      <c r="Z32">
        <f>ATP_fill!AF35</f>
        <v>0</v>
      </c>
      <c r="AA32">
        <f>ATP_fill!AI35</f>
        <v>0</v>
      </c>
      <c r="AB32">
        <f>ATP_fill!AL35</f>
        <v>0</v>
      </c>
      <c r="AC32">
        <f>ATP_fill!AO35</f>
        <v>0</v>
      </c>
    </row>
    <row r="33" spans="1:29" x14ac:dyDescent="0.35">
      <c r="A33" s="4">
        <f>IF(ATP_fill!C36=0,"",ATP_fill!C36)</f>
        <v>46237</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1">
        <f>ATP_fill!BB36</f>
        <v>0</v>
      </c>
      <c r="O33" s="1">
        <f>ATP_fill!BC36</f>
        <v>0</v>
      </c>
      <c r="P33" s="1">
        <f>ATP_fill!BD36</f>
        <v>0</v>
      </c>
      <c r="Q33" s="1">
        <f>ATP_fill!BE36</f>
        <v>0</v>
      </c>
      <c r="R33" s="1">
        <f>ATP_fill!BF36</f>
        <v>0</v>
      </c>
      <c r="S33" s="1">
        <f>ATP_fill!BG36</f>
        <v>0</v>
      </c>
      <c r="T33" s="1">
        <f>ATP_fill!BH36</f>
        <v>0</v>
      </c>
      <c r="U33" s="1">
        <f>ATP_fill!BI36</f>
        <v>0</v>
      </c>
      <c r="V33">
        <f>ATP_fill!T36</f>
        <v>50</v>
      </c>
      <c r="W33">
        <f>ATP_fill!W36</f>
        <v>0</v>
      </c>
      <c r="X33">
        <f>ATP_fill!Z36</f>
        <v>0</v>
      </c>
      <c r="Y33">
        <f>ATP_fill!AC36</f>
        <v>0</v>
      </c>
      <c r="Z33">
        <f>ATP_fill!AF36</f>
        <v>0</v>
      </c>
      <c r="AA33">
        <f>ATP_fill!AI36</f>
        <v>0</v>
      </c>
      <c r="AB33">
        <f>ATP_fill!AL36</f>
        <v>0</v>
      </c>
      <c r="AC33">
        <f>ATP_fill!AO36</f>
        <v>0</v>
      </c>
    </row>
    <row r="34" spans="1:29" x14ac:dyDescent="0.35">
      <c r="A34" s="4">
        <f>IF(ATP_fill!C37=0,"",ATP_fill!C37)</f>
        <v>46244</v>
      </c>
      <c r="B34" t="str">
        <f>ATP_fill!I37</f>
        <v>Peak</v>
      </c>
      <c r="C34" t="str">
        <f>ATP_fill!E37</f>
        <v>-</v>
      </c>
      <c r="D34" t="str">
        <f>ATP_fill!F37</f>
        <v>-</v>
      </c>
      <c r="E34" s="2" t="str">
        <f>ATP_fill!G37</f>
        <v>-</v>
      </c>
      <c r="F34" s="12">
        <f>ATP_fill!AZ37</f>
        <v>0</v>
      </c>
      <c r="G34">
        <f>ATP_fill!AR37</f>
        <v>0</v>
      </c>
      <c r="H34">
        <f>ATP_fill!AS37</f>
        <v>0</v>
      </c>
      <c r="I34">
        <f>ATP_fill!AT37</f>
        <v>0</v>
      </c>
      <c r="J34">
        <f>ATP_fill!AU37</f>
        <v>0</v>
      </c>
      <c r="K34">
        <f>ATP_fill!AV37</f>
        <v>0</v>
      </c>
      <c r="L34">
        <f>ATP_fill!AW37</f>
        <v>0</v>
      </c>
      <c r="M34">
        <f>ATP_fill!AX37</f>
        <v>0</v>
      </c>
      <c r="N34" s="1">
        <f>ATP_fill!BB37</f>
        <v>0</v>
      </c>
      <c r="O34" s="1">
        <f>ATP_fill!BC37</f>
        <v>0</v>
      </c>
      <c r="P34" s="1">
        <f>ATP_fill!BD37</f>
        <v>0</v>
      </c>
      <c r="Q34" s="1">
        <f>ATP_fill!BE37</f>
        <v>0</v>
      </c>
      <c r="R34" s="1">
        <f>ATP_fill!BF37</f>
        <v>0</v>
      </c>
      <c r="S34" s="1">
        <f>ATP_fill!BG37</f>
        <v>0</v>
      </c>
      <c r="T34" s="1">
        <f>ATP_fill!BH37</f>
        <v>0</v>
      </c>
      <c r="U34" s="1">
        <f>ATP_fill!BI37</f>
        <v>0</v>
      </c>
      <c r="V34">
        <f>ATP_fill!T37</f>
        <v>50</v>
      </c>
      <c r="W34">
        <f>ATP_fill!W37</f>
        <v>0</v>
      </c>
      <c r="X34">
        <f>ATP_fill!Z37</f>
        <v>0</v>
      </c>
      <c r="Y34">
        <f>ATP_fill!AC37</f>
        <v>0</v>
      </c>
      <c r="Z34">
        <f>ATP_fill!AF37</f>
        <v>0</v>
      </c>
      <c r="AA34">
        <f>ATP_fill!AI37</f>
        <v>0</v>
      </c>
      <c r="AB34">
        <f>ATP_fill!AL37</f>
        <v>0</v>
      </c>
      <c r="AC34">
        <f>ATP_fill!AO37</f>
        <v>0</v>
      </c>
    </row>
    <row r="35" spans="1:29" x14ac:dyDescent="0.35">
      <c r="A35" s="4">
        <f>IF(ATP_fill!C38=0,"",ATP_fill!C38)</f>
        <v>46251</v>
      </c>
      <c r="B35" t="str">
        <f>ATP_fill!I38</f>
        <v>Peak</v>
      </c>
      <c r="C35" t="str">
        <f>ATP_fill!E38</f>
        <v>De 42e editie Kwart(je) &amp; Trio Triathlon Anna Paulowna</v>
      </c>
      <c r="D35" t="str">
        <f>ATP_fill!F38</f>
        <v>B</v>
      </c>
      <c r="E35" s="2">
        <f>ATP_fill!G38</f>
        <v>46256</v>
      </c>
      <c r="F35" s="12">
        <f>ATP_fill!AZ38</f>
        <v>0</v>
      </c>
      <c r="G35">
        <f>ATP_fill!AR38</f>
        <v>0</v>
      </c>
      <c r="H35">
        <f>ATP_fill!AS38</f>
        <v>0</v>
      </c>
      <c r="I35">
        <f>ATP_fill!AT38</f>
        <v>0</v>
      </c>
      <c r="J35">
        <f>ATP_fill!AU38</f>
        <v>0</v>
      </c>
      <c r="K35">
        <f>ATP_fill!AV38</f>
        <v>0</v>
      </c>
      <c r="L35">
        <f>ATP_fill!AW38</f>
        <v>0</v>
      </c>
      <c r="M35">
        <f>ATP_fill!AX38</f>
        <v>0</v>
      </c>
      <c r="N35" s="1">
        <f>ATP_fill!BB38</f>
        <v>0</v>
      </c>
      <c r="O35" s="1">
        <f>ATP_fill!BC38</f>
        <v>0</v>
      </c>
      <c r="P35" s="1">
        <f>ATP_fill!BD38</f>
        <v>0</v>
      </c>
      <c r="Q35" s="1">
        <f>ATP_fill!BE38</f>
        <v>0</v>
      </c>
      <c r="R35" s="1">
        <f>ATP_fill!BF38</f>
        <v>0</v>
      </c>
      <c r="S35" s="1">
        <f>ATP_fill!BG38</f>
        <v>0</v>
      </c>
      <c r="T35" s="1">
        <f>ATP_fill!BH38</f>
        <v>0</v>
      </c>
      <c r="U35" s="1">
        <f>ATP_fill!BI38</f>
        <v>0</v>
      </c>
      <c r="V35">
        <f>ATP_fill!T38</f>
        <v>50</v>
      </c>
      <c r="W35">
        <f>ATP_fill!W38</f>
        <v>0</v>
      </c>
      <c r="X35">
        <f>ATP_fill!Z38</f>
        <v>0</v>
      </c>
      <c r="Y35">
        <f>ATP_fill!AC38</f>
        <v>0</v>
      </c>
      <c r="Z35">
        <f>ATP_fill!AF38</f>
        <v>0</v>
      </c>
      <c r="AA35">
        <f>ATP_fill!AI38</f>
        <v>0</v>
      </c>
      <c r="AB35">
        <f>ATP_fill!AL38</f>
        <v>0</v>
      </c>
      <c r="AC35">
        <f>ATP_fill!AO38</f>
        <v>0</v>
      </c>
    </row>
    <row r="36" spans="1:29" x14ac:dyDescent="0.35">
      <c r="A36" s="4">
        <f>IF(ATP_fill!C39=0,"",ATP_fill!C39)</f>
        <v>46258</v>
      </c>
      <c r="B36" t="str">
        <f>ATP_fill!I39</f>
        <v>Race</v>
      </c>
      <c r="C36" t="str">
        <f>ATP_fill!E39</f>
        <v>Crostriatlon Renkum (Rijntocht)</v>
      </c>
      <c r="D36" t="str">
        <f>ATP_fill!F39</f>
        <v>A</v>
      </c>
      <c r="E36" s="2">
        <f>ATP_fill!G39</f>
        <v>46263</v>
      </c>
      <c r="F36" s="12">
        <f>ATP_fill!AZ39</f>
        <v>0</v>
      </c>
      <c r="G36">
        <f>ATP_fill!AR39</f>
        <v>0</v>
      </c>
      <c r="H36">
        <f>ATP_fill!AS39</f>
        <v>0</v>
      </c>
      <c r="I36">
        <f>ATP_fill!AT39</f>
        <v>0</v>
      </c>
      <c r="J36">
        <f>ATP_fill!AU39</f>
        <v>0</v>
      </c>
      <c r="K36">
        <f>ATP_fill!AV39</f>
        <v>0</v>
      </c>
      <c r="L36">
        <f>ATP_fill!AW39</f>
        <v>0</v>
      </c>
      <c r="M36">
        <f>ATP_fill!AX39</f>
        <v>0</v>
      </c>
      <c r="N36" s="1">
        <f>ATP_fill!BB39</f>
        <v>0</v>
      </c>
      <c r="O36" s="1">
        <f>ATP_fill!BC39</f>
        <v>0</v>
      </c>
      <c r="P36" s="1">
        <f>ATP_fill!BD39</f>
        <v>0</v>
      </c>
      <c r="Q36" s="1">
        <f>ATP_fill!BE39</f>
        <v>0</v>
      </c>
      <c r="R36" s="1">
        <f>ATP_fill!BF39</f>
        <v>0</v>
      </c>
      <c r="S36" s="1">
        <f>ATP_fill!BG39</f>
        <v>0</v>
      </c>
      <c r="T36" s="1">
        <f>ATP_fill!BH39</f>
        <v>0</v>
      </c>
      <c r="U36" s="1">
        <f>ATP_fill!BI39</f>
        <v>0</v>
      </c>
      <c r="V36">
        <f>ATP_fill!T39</f>
        <v>50</v>
      </c>
      <c r="W36">
        <f>ATP_fill!W39</f>
        <v>0</v>
      </c>
      <c r="X36">
        <f>ATP_fill!Z39</f>
        <v>0</v>
      </c>
      <c r="Y36">
        <f>ATP_fill!AC39</f>
        <v>0</v>
      </c>
      <c r="Z36">
        <f>ATP_fill!AF39</f>
        <v>0</v>
      </c>
      <c r="AA36">
        <f>ATP_fill!AI39</f>
        <v>0</v>
      </c>
      <c r="AB36">
        <f>ATP_fill!AL39</f>
        <v>0</v>
      </c>
      <c r="AC36">
        <f>ATP_fill!AO39</f>
        <v>0</v>
      </c>
    </row>
    <row r="37" spans="1:29" x14ac:dyDescent="0.35">
      <c r="A37" s="4">
        <f>IF(ATP_fill!C40=0,"",ATP_fill!C40)</f>
        <v>46265</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1">
        <f>ATP_fill!BB40</f>
        <v>0</v>
      </c>
      <c r="O37" s="1">
        <f>ATP_fill!BC40</f>
        <v>0</v>
      </c>
      <c r="P37" s="1">
        <f>ATP_fill!BD40</f>
        <v>0</v>
      </c>
      <c r="Q37" s="1">
        <f>ATP_fill!BE40</f>
        <v>0</v>
      </c>
      <c r="R37" s="1">
        <f>ATP_fill!BF40</f>
        <v>0</v>
      </c>
      <c r="S37" s="1">
        <f>ATP_fill!BG40</f>
        <v>0</v>
      </c>
      <c r="T37" s="1">
        <f>ATP_fill!BH40</f>
        <v>0</v>
      </c>
      <c r="U37" s="1">
        <f>ATP_fill!BI40</f>
        <v>0</v>
      </c>
      <c r="V37">
        <f>ATP_fill!T40</f>
        <v>50</v>
      </c>
      <c r="W37">
        <f>ATP_fill!W40</f>
        <v>0</v>
      </c>
      <c r="X37">
        <f>ATP_fill!Z40</f>
        <v>0</v>
      </c>
      <c r="Y37">
        <f>ATP_fill!AC40</f>
        <v>0</v>
      </c>
      <c r="Z37">
        <f>ATP_fill!AF40</f>
        <v>0</v>
      </c>
      <c r="AA37">
        <f>ATP_fill!AI40</f>
        <v>0</v>
      </c>
      <c r="AB37">
        <f>ATP_fill!AL40</f>
        <v>0</v>
      </c>
      <c r="AC37">
        <f>ATP_fill!AO40</f>
        <v>0</v>
      </c>
    </row>
    <row r="38" spans="1:29" x14ac:dyDescent="0.35">
      <c r="A38" s="4">
        <f>IF(ATP_fill!C41=0,"",ATP_fill!C41)</f>
        <v>46272</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1">
        <f>ATP_fill!BB41</f>
        <v>0</v>
      </c>
      <c r="O38" s="1">
        <f>ATP_fill!BC41</f>
        <v>0</v>
      </c>
      <c r="P38" s="1">
        <f>ATP_fill!BD41</f>
        <v>0</v>
      </c>
      <c r="Q38" s="1">
        <f>ATP_fill!BE41</f>
        <v>0</v>
      </c>
      <c r="R38" s="1">
        <f>ATP_fill!BF41</f>
        <v>0</v>
      </c>
      <c r="S38" s="1">
        <f>ATP_fill!BG41</f>
        <v>0</v>
      </c>
      <c r="T38" s="1">
        <f>ATP_fill!BH41</f>
        <v>0</v>
      </c>
      <c r="U38" s="1">
        <f>ATP_fill!BI41</f>
        <v>0</v>
      </c>
      <c r="V38">
        <f>ATP_fill!T41</f>
        <v>50</v>
      </c>
      <c r="W38">
        <f>ATP_fill!W41</f>
        <v>0</v>
      </c>
      <c r="X38">
        <f>ATP_fill!Z41</f>
        <v>0</v>
      </c>
      <c r="Y38">
        <f>ATP_fill!AC41</f>
        <v>0</v>
      </c>
      <c r="Z38">
        <f>ATP_fill!AF41</f>
        <v>0</v>
      </c>
      <c r="AA38">
        <f>ATP_fill!AI41</f>
        <v>0</v>
      </c>
      <c r="AB38">
        <f>ATP_fill!AL41</f>
        <v>0</v>
      </c>
      <c r="AC38">
        <f>ATP_fill!AO41</f>
        <v>0</v>
      </c>
    </row>
    <row r="39" spans="1:29" x14ac:dyDescent="0.35">
      <c r="A39" s="4">
        <f>IF(ATP_fill!C42=0,"",ATP_fill!C42)</f>
        <v>46279</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1">
        <f>ATP_fill!BB42</f>
        <v>0</v>
      </c>
      <c r="O39" s="1">
        <f>ATP_fill!BC42</f>
        <v>0</v>
      </c>
      <c r="P39" s="1">
        <f>ATP_fill!BD42</f>
        <v>0</v>
      </c>
      <c r="Q39" s="1">
        <f>ATP_fill!BE42</f>
        <v>0</v>
      </c>
      <c r="R39" s="1">
        <f>ATP_fill!BF42</f>
        <v>0</v>
      </c>
      <c r="S39" s="1">
        <f>ATP_fill!BG42</f>
        <v>0</v>
      </c>
      <c r="T39" s="1">
        <f>ATP_fill!BH42</f>
        <v>0</v>
      </c>
      <c r="U39" s="1">
        <f>ATP_fill!BI42</f>
        <v>0</v>
      </c>
      <c r="V39">
        <f>ATP_fill!T42</f>
        <v>50</v>
      </c>
      <c r="W39">
        <f>ATP_fill!W42</f>
        <v>0</v>
      </c>
      <c r="X39">
        <f>ATP_fill!Z42</f>
        <v>0</v>
      </c>
      <c r="Y39">
        <f>ATP_fill!AC42</f>
        <v>0</v>
      </c>
      <c r="Z39">
        <f>ATP_fill!AF42</f>
        <v>0</v>
      </c>
      <c r="AA39">
        <f>ATP_fill!AI42</f>
        <v>0</v>
      </c>
      <c r="AB39">
        <f>ATP_fill!AL42</f>
        <v>0</v>
      </c>
      <c r="AC39">
        <f>ATP_fill!AO42</f>
        <v>0</v>
      </c>
    </row>
    <row r="40" spans="1:29" x14ac:dyDescent="0.35">
      <c r="A40" s="4">
        <f>IF(ATP_fill!C43=0,"",ATP_fill!C43)</f>
        <v>46286</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1">
        <f>ATP_fill!BB43</f>
        <v>0</v>
      </c>
      <c r="O40" s="1">
        <f>ATP_fill!BC43</f>
        <v>0</v>
      </c>
      <c r="P40" s="1">
        <f>ATP_fill!BD43</f>
        <v>0</v>
      </c>
      <c r="Q40" s="1">
        <f>ATP_fill!BE43</f>
        <v>0</v>
      </c>
      <c r="R40" s="1">
        <f>ATP_fill!BF43</f>
        <v>0</v>
      </c>
      <c r="S40" s="1">
        <f>ATP_fill!BG43</f>
        <v>0</v>
      </c>
      <c r="T40" s="1">
        <f>ATP_fill!BH43</f>
        <v>0</v>
      </c>
      <c r="U40" s="1">
        <f>ATP_fill!BI43</f>
        <v>0</v>
      </c>
      <c r="V40">
        <f>ATP_fill!T43</f>
        <v>50</v>
      </c>
      <c r="W40">
        <f>ATP_fill!W43</f>
        <v>0</v>
      </c>
      <c r="X40">
        <f>ATP_fill!Z43</f>
        <v>0</v>
      </c>
      <c r="Y40">
        <f>ATP_fill!AC43</f>
        <v>0</v>
      </c>
      <c r="Z40">
        <f>ATP_fill!AF43</f>
        <v>0</v>
      </c>
      <c r="AA40">
        <f>ATP_fill!AI43</f>
        <v>0</v>
      </c>
      <c r="AB40">
        <f>ATP_fill!AL43</f>
        <v>0</v>
      </c>
      <c r="AC40">
        <f>ATP_fill!AO43</f>
        <v>0</v>
      </c>
    </row>
    <row r="41" spans="1:29" x14ac:dyDescent="0.35">
      <c r="A41" s="4">
        <f>IF(ATP_fill!C44=0,"",ATP_fill!C44)</f>
        <v>46293</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1">
        <f>ATP_fill!BB44</f>
        <v>0</v>
      </c>
      <c r="O41" s="1">
        <f>ATP_fill!BC44</f>
        <v>0</v>
      </c>
      <c r="P41" s="1">
        <f>ATP_fill!BD44</f>
        <v>0</v>
      </c>
      <c r="Q41" s="1">
        <f>ATP_fill!BE44</f>
        <v>0</v>
      </c>
      <c r="R41" s="1">
        <f>ATP_fill!BF44</f>
        <v>0</v>
      </c>
      <c r="S41" s="1">
        <f>ATP_fill!BG44</f>
        <v>0</v>
      </c>
      <c r="T41" s="1">
        <f>ATP_fill!BH44</f>
        <v>0</v>
      </c>
      <c r="U41" s="1">
        <f>ATP_fill!BI44</f>
        <v>0</v>
      </c>
      <c r="V41">
        <f>ATP_fill!T44</f>
        <v>50</v>
      </c>
      <c r="W41">
        <f>ATP_fill!W44</f>
        <v>0</v>
      </c>
      <c r="X41">
        <f>ATP_fill!Z44</f>
        <v>0</v>
      </c>
      <c r="Y41">
        <f>ATP_fill!AC44</f>
        <v>0</v>
      </c>
      <c r="Z41">
        <f>ATP_fill!AF44</f>
        <v>0</v>
      </c>
      <c r="AA41">
        <f>ATP_fill!AI44</f>
        <v>0</v>
      </c>
      <c r="AB41">
        <f>ATP_fill!AL44</f>
        <v>0</v>
      </c>
      <c r="AC41">
        <f>ATP_fill!AO44</f>
        <v>0</v>
      </c>
    </row>
    <row r="42" spans="1:29" x14ac:dyDescent="0.35">
      <c r="A42" s="4">
        <f>IF(ATP_fill!C45=0,"",ATP_fill!C45)</f>
        <v>46300</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1">
        <f>ATP_fill!BB45</f>
        <v>0</v>
      </c>
      <c r="O42" s="1">
        <f>ATP_fill!BC45</f>
        <v>0</v>
      </c>
      <c r="P42" s="1">
        <f>ATP_fill!BD45</f>
        <v>0</v>
      </c>
      <c r="Q42" s="1">
        <f>ATP_fill!BE45</f>
        <v>0</v>
      </c>
      <c r="R42" s="1">
        <f>ATP_fill!BF45</f>
        <v>0</v>
      </c>
      <c r="S42" s="1">
        <f>ATP_fill!BG45</f>
        <v>0</v>
      </c>
      <c r="T42" s="1">
        <f>ATP_fill!BH45</f>
        <v>0</v>
      </c>
      <c r="U42" s="1">
        <f>ATP_fill!BI45</f>
        <v>0</v>
      </c>
      <c r="V42">
        <f>ATP_fill!T45</f>
        <v>50</v>
      </c>
      <c r="W42">
        <f>ATP_fill!W45</f>
        <v>0</v>
      </c>
      <c r="X42">
        <f>ATP_fill!Z45</f>
        <v>0</v>
      </c>
      <c r="Y42">
        <f>ATP_fill!AC45</f>
        <v>0</v>
      </c>
      <c r="Z42">
        <f>ATP_fill!AF45</f>
        <v>0</v>
      </c>
      <c r="AA42">
        <f>ATP_fill!AI45</f>
        <v>0</v>
      </c>
      <c r="AB42">
        <f>ATP_fill!AL45</f>
        <v>0</v>
      </c>
      <c r="AC42">
        <f>ATP_fill!AO45</f>
        <v>0</v>
      </c>
    </row>
    <row r="43" spans="1:29" x14ac:dyDescent="0.35">
      <c r="A43" s="4">
        <f>IF(ATP_fill!C46=0,"",ATP_fill!C46)</f>
        <v>46307</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1">
        <f>ATP_fill!BB46</f>
        <v>0</v>
      </c>
      <c r="O43" s="1">
        <f>ATP_fill!BC46</f>
        <v>0</v>
      </c>
      <c r="P43" s="1">
        <f>ATP_fill!BD46</f>
        <v>0</v>
      </c>
      <c r="Q43" s="1">
        <f>ATP_fill!BE46</f>
        <v>0</v>
      </c>
      <c r="R43" s="1">
        <f>ATP_fill!BF46</f>
        <v>0</v>
      </c>
      <c r="S43" s="1">
        <f>ATP_fill!BG46</f>
        <v>0</v>
      </c>
      <c r="T43" s="1">
        <f>ATP_fill!BH46</f>
        <v>0</v>
      </c>
      <c r="U43" s="1">
        <f>ATP_fill!BI46</f>
        <v>0</v>
      </c>
      <c r="V43">
        <f>ATP_fill!T46</f>
        <v>50</v>
      </c>
      <c r="W43">
        <f>ATP_fill!W46</f>
        <v>0</v>
      </c>
      <c r="X43">
        <f>ATP_fill!Z46</f>
        <v>0</v>
      </c>
      <c r="Y43">
        <f>ATP_fill!AC46</f>
        <v>0</v>
      </c>
      <c r="Z43">
        <f>ATP_fill!AF46</f>
        <v>0</v>
      </c>
      <c r="AA43">
        <f>ATP_fill!AI46</f>
        <v>0</v>
      </c>
      <c r="AB43">
        <f>ATP_fill!AL46</f>
        <v>0</v>
      </c>
      <c r="AC43">
        <f>ATP_fill!AO46</f>
        <v>0</v>
      </c>
    </row>
    <row r="44" spans="1:29" x14ac:dyDescent="0.35">
      <c r="A44" s="4">
        <f>IF(ATP_fill!C47=0,"",ATP_fill!C47)</f>
        <v>46314</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1">
        <f>ATP_fill!BB47</f>
        <v>0</v>
      </c>
      <c r="O44" s="1">
        <f>ATP_fill!BC47</f>
        <v>0</v>
      </c>
      <c r="P44" s="1">
        <f>ATP_fill!BD47</f>
        <v>0</v>
      </c>
      <c r="Q44" s="1">
        <f>ATP_fill!BE47</f>
        <v>0</v>
      </c>
      <c r="R44" s="1">
        <f>ATP_fill!BF47</f>
        <v>0</v>
      </c>
      <c r="S44" s="1">
        <f>ATP_fill!BG47</f>
        <v>0</v>
      </c>
      <c r="T44" s="1">
        <f>ATP_fill!BH47</f>
        <v>0</v>
      </c>
      <c r="U44" s="1">
        <f>ATP_fill!BI47</f>
        <v>0</v>
      </c>
      <c r="V44">
        <f>ATP_fill!T47</f>
        <v>50</v>
      </c>
      <c r="W44">
        <f>ATP_fill!W47</f>
        <v>0</v>
      </c>
      <c r="X44">
        <f>ATP_fill!Z47</f>
        <v>0</v>
      </c>
      <c r="Y44">
        <f>ATP_fill!AC47</f>
        <v>0</v>
      </c>
      <c r="Z44">
        <f>ATP_fill!AF47</f>
        <v>0</v>
      </c>
      <c r="AA44">
        <f>ATP_fill!AI47</f>
        <v>0</v>
      </c>
      <c r="AB44">
        <f>ATP_fill!AL47</f>
        <v>0</v>
      </c>
      <c r="AC44">
        <f>ATP_fill!AO47</f>
        <v>0</v>
      </c>
    </row>
    <row r="45" spans="1:29" x14ac:dyDescent="0.35">
      <c r="A45" s="4">
        <f>IF(ATP_fill!C48=0,"",ATP_fill!C48)</f>
        <v>46321</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1">
        <f>ATP_fill!BB48</f>
        <v>0</v>
      </c>
      <c r="O45" s="1">
        <f>ATP_fill!BC48</f>
        <v>0</v>
      </c>
      <c r="P45" s="1">
        <f>ATP_fill!BD48</f>
        <v>0</v>
      </c>
      <c r="Q45" s="1">
        <f>ATP_fill!BE48</f>
        <v>0</v>
      </c>
      <c r="R45" s="1">
        <f>ATP_fill!BF48</f>
        <v>0</v>
      </c>
      <c r="S45" s="1">
        <f>ATP_fill!BG48</f>
        <v>0</v>
      </c>
      <c r="T45" s="1">
        <f>ATP_fill!BH48</f>
        <v>0</v>
      </c>
      <c r="U45" s="1">
        <f>ATP_fill!BI48</f>
        <v>0</v>
      </c>
      <c r="V45">
        <f>ATP_fill!T48</f>
        <v>50</v>
      </c>
      <c r="W45">
        <f>ATP_fill!W48</f>
        <v>0</v>
      </c>
      <c r="X45">
        <f>ATP_fill!Z48</f>
        <v>0</v>
      </c>
      <c r="Y45">
        <f>ATP_fill!AC48</f>
        <v>0</v>
      </c>
      <c r="Z45">
        <f>ATP_fill!AF48</f>
        <v>0</v>
      </c>
      <c r="AA45">
        <f>ATP_fill!AI48</f>
        <v>0</v>
      </c>
      <c r="AB45">
        <f>ATP_fill!AL48</f>
        <v>0</v>
      </c>
      <c r="AC45">
        <f>ATP_fill!AO48</f>
        <v>0</v>
      </c>
    </row>
    <row r="46" spans="1:29" x14ac:dyDescent="0.35">
      <c r="A46" s="4">
        <f>IF(ATP_fill!C49=0,"",ATP_fill!C49)</f>
        <v>46328</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1">
        <f>ATP_fill!BB49</f>
        <v>0</v>
      </c>
      <c r="O46" s="1">
        <f>ATP_fill!BC49</f>
        <v>0</v>
      </c>
      <c r="P46" s="1">
        <f>ATP_fill!BD49</f>
        <v>0</v>
      </c>
      <c r="Q46" s="1">
        <f>ATP_fill!BE49</f>
        <v>0</v>
      </c>
      <c r="R46" s="1">
        <f>ATP_fill!BF49</f>
        <v>0</v>
      </c>
      <c r="S46" s="1">
        <f>ATP_fill!BG49</f>
        <v>0</v>
      </c>
      <c r="T46" s="1">
        <f>ATP_fill!BH49</f>
        <v>0</v>
      </c>
      <c r="U46" s="1">
        <f>ATP_fill!BI49</f>
        <v>0</v>
      </c>
      <c r="V46">
        <f>ATP_fill!T49</f>
        <v>50</v>
      </c>
      <c r="W46">
        <f>ATP_fill!W49</f>
        <v>0</v>
      </c>
      <c r="X46">
        <f>ATP_fill!Z49</f>
        <v>0</v>
      </c>
      <c r="Y46">
        <f>ATP_fill!AC49</f>
        <v>0</v>
      </c>
      <c r="Z46">
        <f>ATP_fill!AF49</f>
        <v>0</v>
      </c>
      <c r="AA46">
        <f>ATP_fill!AI49</f>
        <v>0</v>
      </c>
      <c r="AB46">
        <f>ATP_fill!AL49</f>
        <v>0</v>
      </c>
      <c r="AC46">
        <f>ATP_fill!AO49</f>
        <v>0</v>
      </c>
    </row>
    <row r="47" spans="1:29" x14ac:dyDescent="0.35">
      <c r="A47" s="4">
        <f>IF(ATP_fill!C50=0,"",ATP_fill!C50)</f>
        <v>46335</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1">
        <f>ATP_fill!BB50</f>
        <v>0</v>
      </c>
      <c r="O47" s="1">
        <f>ATP_fill!BC50</f>
        <v>0</v>
      </c>
      <c r="P47" s="1">
        <f>ATP_fill!BD50</f>
        <v>0</v>
      </c>
      <c r="Q47" s="1">
        <f>ATP_fill!BE50</f>
        <v>0</v>
      </c>
      <c r="R47" s="1">
        <f>ATP_fill!BF50</f>
        <v>0</v>
      </c>
      <c r="S47" s="1">
        <f>ATP_fill!BG50</f>
        <v>0</v>
      </c>
      <c r="T47" s="1">
        <f>ATP_fill!BH50</f>
        <v>0</v>
      </c>
      <c r="U47" s="1">
        <f>ATP_fill!BI50</f>
        <v>0</v>
      </c>
      <c r="V47">
        <f>ATP_fill!T50</f>
        <v>50</v>
      </c>
      <c r="W47">
        <f>ATP_fill!W50</f>
        <v>0</v>
      </c>
      <c r="X47">
        <f>ATP_fill!Z50</f>
        <v>0</v>
      </c>
      <c r="Y47">
        <f>ATP_fill!AC50</f>
        <v>0</v>
      </c>
      <c r="Z47">
        <f>ATP_fill!AF50</f>
        <v>0</v>
      </c>
      <c r="AA47">
        <f>ATP_fill!AI50</f>
        <v>0</v>
      </c>
      <c r="AB47">
        <f>ATP_fill!AL50</f>
        <v>0</v>
      </c>
      <c r="AC47">
        <f>ATP_fill!AO50</f>
        <v>0</v>
      </c>
    </row>
    <row r="48" spans="1:29" x14ac:dyDescent="0.35">
      <c r="A48" s="4">
        <f>IF(ATP_fill!C51=0,"",ATP_fill!C51)</f>
        <v>46342</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1">
        <f>ATP_fill!BB51</f>
        <v>0</v>
      </c>
      <c r="O48" s="1">
        <f>ATP_fill!BC51</f>
        <v>0</v>
      </c>
      <c r="P48" s="1">
        <f>ATP_fill!BD51</f>
        <v>0</v>
      </c>
      <c r="Q48" s="1">
        <f>ATP_fill!BE51</f>
        <v>0</v>
      </c>
      <c r="R48" s="1">
        <f>ATP_fill!BF51</f>
        <v>0</v>
      </c>
      <c r="S48" s="1">
        <f>ATP_fill!BG51</f>
        <v>0</v>
      </c>
      <c r="T48" s="1">
        <f>ATP_fill!BH51</f>
        <v>0</v>
      </c>
      <c r="U48" s="1">
        <f>ATP_fill!BI51</f>
        <v>0</v>
      </c>
      <c r="V48">
        <f>ATP_fill!T51</f>
        <v>50</v>
      </c>
      <c r="W48">
        <f>ATP_fill!W51</f>
        <v>0</v>
      </c>
      <c r="X48">
        <f>ATP_fill!Z51</f>
        <v>0</v>
      </c>
      <c r="Y48">
        <f>ATP_fill!AC51</f>
        <v>0</v>
      </c>
      <c r="Z48">
        <f>ATP_fill!AF51</f>
        <v>0</v>
      </c>
      <c r="AA48">
        <f>ATP_fill!AI51</f>
        <v>0</v>
      </c>
      <c r="AB48">
        <f>ATP_fill!AL51</f>
        <v>0</v>
      </c>
      <c r="AC48">
        <f>ATP_fill!AO51</f>
        <v>0</v>
      </c>
    </row>
    <row r="49" spans="1:29" x14ac:dyDescent="0.35">
      <c r="A49" s="4">
        <f>IF(ATP_fill!C52=0,"",ATP_fill!C52)</f>
        <v>46349</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1">
        <f>ATP_fill!BB52</f>
        <v>0</v>
      </c>
      <c r="O49" s="1">
        <f>ATP_fill!BC52</f>
        <v>0</v>
      </c>
      <c r="P49" s="1">
        <f>ATP_fill!BD52</f>
        <v>0</v>
      </c>
      <c r="Q49" s="1">
        <f>ATP_fill!BE52</f>
        <v>0</v>
      </c>
      <c r="R49" s="1">
        <f>ATP_fill!BF52</f>
        <v>0</v>
      </c>
      <c r="S49" s="1">
        <f>ATP_fill!BG52</f>
        <v>0</v>
      </c>
      <c r="T49" s="1">
        <f>ATP_fill!BH52</f>
        <v>0</v>
      </c>
      <c r="U49" s="1">
        <f>ATP_fill!BI52</f>
        <v>0</v>
      </c>
      <c r="V49">
        <f>ATP_fill!T52</f>
        <v>50</v>
      </c>
      <c r="W49">
        <f>ATP_fill!W52</f>
        <v>0</v>
      </c>
      <c r="X49">
        <f>ATP_fill!Z52</f>
        <v>0</v>
      </c>
      <c r="Y49">
        <f>ATP_fill!AC52</f>
        <v>0</v>
      </c>
      <c r="Z49">
        <f>ATP_fill!AF52</f>
        <v>0</v>
      </c>
      <c r="AA49">
        <f>ATP_fill!AI52</f>
        <v>0</v>
      </c>
      <c r="AB49">
        <f>ATP_fill!AL52</f>
        <v>0</v>
      </c>
      <c r="AC49">
        <f>ATP_fill!AO52</f>
        <v>0</v>
      </c>
    </row>
    <row r="50" spans="1:29" x14ac:dyDescent="0.35">
      <c r="A50" s="4">
        <f>IF(ATP_fill!C53=0,"",ATP_fill!C53)</f>
        <v>46356</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1">
        <f>ATP_fill!BB53</f>
        <v>0</v>
      </c>
      <c r="O50" s="1">
        <f>ATP_fill!BC53</f>
        <v>0</v>
      </c>
      <c r="P50" s="1">
        <f>ATP_fill!BD53</f>
        <v>0</v>
      </c>
      <c r="Q50" s="1">
        <f>ATP_fill!BE53</f>
        <v>0</v>
      </c>
      <c r="R50" s="1">
        <f>ATP_fill!BF53</f>
        <v>0</v>
      </c>
      <c r="S50" s="1">
        <f>ATP_fill!BG53</f>
        <v>0</v>
      </c>
      <c r="T50" s="1">
        <f>ATP_fill!BH53</f>
        <v>0</v>
      </c>
      <c r="U50" s="1">
        <f>ATP_fill!BI53</f>
        <v>0</v>
      </c>
      <c r="V50">
        <f>ATP_fill!T53</f>
        <v>50</v>
      </c>
      <c r="W50">
        <f>ATP_fill!W53</f>
        <v>0</v>
      </c>
      <c r="X50">
        <f>ATP_fill!Z53</f>
        <v>0</v>
      </c>
      <c r="Y50">
        <f>ATP_fill!AC53</f>
        <v>0</v>
      </c>
      <c r="Z50">
        <f>ATP_fill!AF53</f>
        <v>0</v>
      </c>
      <c r="AA50">
        <f>ATP_fill!AI53</f>
        <v>0</v>
      </c>
      <c r="AB50">
        <f>ATP_fill!AL53</f>
        <v>0</v>
      </c>
      <c r="AC50">
        <f>ATP_fill!AO53</f>
        <v>0</v>
      </c>
    </row>
    <row r="51" spans="1:29" x14ac:dyDescent="0.35">
      <c r="A51" s="4">
        <f>IF(ATP_fill!C54=0,"",ATP_fill!C54)</f>
        <v>46363</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1">
        <f>ATP_fill!BB54</f>
        <v>0</v>
      </c>
      <c r="O51" s="1">
        <f>ATP_fill!BC54</f>
        <v>0</v>
      </c>
      <c r="P51" s="1">
        <f>ATP_fill!BD54</f>
        <v>0</v>
      </c>
      <c r="Q51" s="1">
        <f>ATP_fill!BE54</f>
        <v>0</v>
      </c>
      <c r="R51" s="1">
        <f>ATP_fill!BF54</f>
        <v>0</v>
      </c>
      <c r="S51" s="1">
        <f>ATP_fill!BG54</f>
        <v>0</v>
      </c>
      <c r="T51" s="1">
        <f>ATP_fill!BH54</f>
        <v>0</v>
      </c>
      <c r="U51" s="1">
        <f>ATP_fill!BI54</f>
        <v>0</v>
      </c>
      <c r="V51">
        <f>ATP_fill!T54</f>
        <v>50</v>
      </c>
      <c r="W51">
        <f>ATP_fill!W54</f>
        <v>0</v>
      </c>
      <c r="X51">
        <f>ATP_fill!Z54</f>
        <v>0</v>
      </c>
      <c r="Y51">
        <f>ATP_fill!AC54</f>
        <v>0</v>
      </c>
      <c r="Z51">
        <f>ATP_fill!AF54</f>
        <v>0</v>
      </c>
      <c r="AA51">
        <f>ATP_fill!AI54</f>
        <v>0</v>
      </c>
      <c r="AB51">
        <f>ATP_fill!AL54</f>
        <v>0</v>
      </c>
      <c r="AC51">
        <f>ATP_fill!AO54</f>
        <v>0</v>
      </c>
    </row>
    <row r="52" spans="1:29" x14ac:dyDescent="0.35">
      <c r="A52" s="4">
        <f>IF(ATP_fill!C57=0,"",ATP_fill!C57)</f>
        <v>46384</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f>ATP_fill!AW57</f>
        <v>0</v>
      </c>
      <c r="M52">
        <f>ATP_fill!AX57</f>
        <v>0</v>
      </c>
      <c r="N52" s="1">
        <f>ATP_fill!BB57</f>
        <v>0</v>
      </c>
      <c r="O52" s="1">
        <f>ATP_fill!BC57</f>
        <v>0</v>
      </c>
      <c r="P52" s="1">
        <f>ATP_fill!BD57</f>
        <v>0</v>
      </c>
      <c r="Q52" s="1">
        <f>ATP_fill!BE57</f>
        <v>0</v>
      </c>
      <c r="R52" s="1">
        <f>ATP_fill!BF57</f>
        <v>0</v>
      </c>
      <c r="S52" s="1">
        <f>ATP_fill!BG57</f>
        <v>0</v>
      </c>
      <c r="T52" s="1">
        <f>ATP_fill!BH57</f>
        <v>0</v>
      </c>
      <c r="U52" s="1">
        <f>ATP_fill!BI57</f>
        <v>0</v>
      </c>
      <c r="V52">
        <f>ATP_fill!T57</f>
        <v>0</v>
      </c>
      <c r="W52">
        <f>ATP_fill!W57</f>
        <v>0</v>
      </c>
      <c r="X52">
        <f>ATP_fill!Z57</f>
        <v>0</v>
      </c>
      <c r="Y52">
        <f>ATP_fill!AC57</f>
        <v>0</v>
      </c>
      <c r="Z52">
        <f>ATP_fill!AF57</f>
        <v>0</v>
      </c>
      <c r="AA52">
        <f>ATP_fill!AI57</f>
        <v>0</v>
      </c>
      <c r="AB52">
        <f>ATP_fill!AL57</f>
        <v>0</v>
      </c>
      <c r="AC52">
        <f>ATP_fill!AO57</f>
        <v>0</v>
      </c>
    </row>
    <row r="53" spans="1:29"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1" t="e">
        <f>ATP_fill!#REF!</f>
        <v>#REF!</v>
      </c>
      <c r="O53" s="1" t="e">
        <f>ATP_fill!#REF!</f>
        <v>#REF!</v>
      </c>
      <c r="P53" s="1" t="e">
        <f>ATP_fill!#REF!</f>
        <v>#REF!</v>
      </c>
      <c r="Q53" s="1" t="e">
        <f>ATP_fill!#REF!</f>
        <v>#REF!</v>
      </c>
      <c r="R53" s="1" t="e">
        <f>ATP_fill!#REF!</f>
        <v>#REF!</v>
      </c>
      <c r="S53" s="1" t="e">
        <f>ATP_fill!#REF!</f>
        <v>#REF!</v>
      </c>
      <c r="T53" s="1" t="e">
        <f>ATP_fill!#REF!</f>
        <v>#REF!</v>
      </c>
      <c r="U53" s="1" t="e">
        <f>ATP_fill!#REF!</f>
        <v>#REF!</v>
      </c>
      <c r="V53" t="e">
        <f>ATP_fill!#REF!</f>
        <v>#REF!</v>
      </c>
      <c r="W53" t="e">
        <f>ATP_fill!#REF!</f>
        <v>#REF!</v>
      </c>
      <c r="X53" t="e">
        <f>ATP_fill!#REF!</f>
        <v>#REF!</v>
      </c>
      <c r="Y53" t="e">
        <f>ATP_fill!#REF!</f>
        <v>#REF!</v>
      </c>
      <c r="Z53" t="e">
        <f>ATP_fill!#REF!</f>
        <v>#REF!</v>
      </c>
      <c r="AA53" t="e">
        <f>ATP_fill!#REF!</f>
        <v>#REF!</v>
      </c>
      <c r="AB53" t="e">
        <f>ATP_fill!#REF!</f>
        <v>#REF!</v>
      </c>
      <c r="AC53"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topLeftCell="B1"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105</v>
      </c>
      <c r="C4" t="s">
        <v>106</v>
      </c>
      <c r="D4" t="s">
        <v>107</v>
      </c>
      <c r="E4" t="s">
        <v>108</v>
      </c>
      <c r="F4" t="s">
        <v>109</v>
      </c>
      <c r="G4" t="s">
        <v>110</v>
      </c>
      <c r="H4" t="s">
        <v>163</v>
      </c>
      <c r="I4" t="s">
        <v>164</v>
      </c>
      <c r="J4" t="s">
        <v>165</v>
      </c>
      <c r="K4" t="s">
        <v>166</v>
      </c>
      <c r="L4" t="s">
        <v>167</v>
      </c>
      <c r="M4" t="s">
        <v>168</v>
      </c>
      <c r="N4" t="s">
        <v>169</v>
      </c>
      <c r="O4" t="s">
        <v>170</v>
      </c>
      <c r="P4" t="s">
        <v>171</v>
      </c>
    </row>
    <row r="5" spans="1:16" x14ac:dyDescent="0.35">
      <c r="A5" t="s">
        <v>111</v>
      </c>
      <c r="B5">
        <v>150</v>
      </c>
      <c r="C5">
        <v>0</v>
      </c>
      <c r="D5">
        <v>158</v>
      </c>
      <c r="E5">
        <v>35</v>
      </c>
      <c r="F5">
        <v>0</v>
      </c>
      <c r="G5">
        <v>0</v>
      </c>
      <c r="H5">
        <v>150</v>
      </c>
      <c r="I5">
        <v>0</v>
      </c>
      <c r="J5">
        <v>160</v>
      </c>
      <c r="K5">
        <v>35</v>
      </c>
      <c r="L5">
        <v>0</v>
      </c>
      <c r="M5">
        <v>0</v>
      </c>
      <c r="N5">
        <v>343</v>
      </c>
      <c r="O5">
        <v>345</v>
      </c>
      <c r="P5">
        <v>-2</v>
      </c>
    </row>
    <row r="6" spans="1:16" x14ac:dyDescent="0.35">
      <c r="A6" t="s">
        <v>112</v>
      </c>
      <c r="B6">
        <v>150</v>
      </c>
      <c r="C6">
        <v>0</v>
      </c>
      <c r="D6">
        <v>248</v>
      </c>
      <c r="E6">
        <v>102</v>
      </c>
      <c r="F6">
        <v>0</v>
      </c>
      <c r="G6">
        <v>0</v>
      </c>
      <c r="H6">
        <v>150</v>
      </c>
      <c r="I6">
        <v>0</v>
      </c>
      <c r="J6">
        <v>250</v>
      </c>
      <c r="K6">
        <v>100</v>
      </c>
      <c r="L6">
        <v>0</v>
      </c>
      <c r="M6">
        <v>0</v>
      </c>
      <c r="N6">
        <v>500</v>
      </c>
      <c r="O6">
        <v>500</v>
      </c>
      <c r="P6">
        <v>0</v>
      </c>
    </row>
    <row r="7" spans="1:16" x14ac:dyDescent="0.35">
      <c r="A7" t="s">
        <v>113</v>
      </c>
      <c r="B7">
        <v>150</v>
      </c>
      <c r="C7">
        <v>0</v>
      </c>
      <c r="D7">
        <v>262</v>
      </c>
      <c r="E7">
        <v>138</v>
      </c>
      <c r="F7">
        <v>0</v>
      </c>
      <c r="G7">
        <v>0</v>
      </c>
      <c r="H7">
        <v>150</v>
      </c>
      <c r="I7">
        <v>0</v>
      </c>
      <c r="J7">
        <v>260</v>
      </c>
      <c r="K7">
        <v>140</v>
      </c>
      <c r="L7">
        <v>0</v>
      </c>
      <c r="M7">
        <v>0</v>
      </c>
      <c r="N7">
        <v>550</v>
      </c>
      <c r="O7">
        <v>550</v>
      </c>
      <c r="P7">
        <v>0</v>
      </c>
    </row>
    <row r="8" spans="1:16" x14ac:dyDescent="0.35">
      <c r="A8" t="s">
        <v>114</v>
      </c>
      <c r="B8">
        <v>150</v>
      </c>
      <c r="C8">
        <v>0</v>
      </c>
      <c r="D8">
        <v>168</v>
      </c>
      <c r="E8">
        <v>117</v>
      </c>
      <c r="F8">
        <v>0</v>
      </c>
      <c r="G8">
        <v>0</v>
      </c>
      <c r="H8">
        <v>150</v>
      </c>
      <c r="I8">
        <v>0</v>
      </c>
      <c r="J8">
        <v>170</v>
      </c>
      <c r="K8">
        <v>115</v>
      </c>
      <c r="L8">
        <v>0</v>
      </c>
      <c r="M8">
        <v>0</v>
      </c>
      <c r="N8">
        <v>435</v>
      </c>
      <c r="O8">
        <v>435</v>
      </c>
      <c r="P8">
        <v>0</v>
      </c>
    </row>
    <row r="9" spans="1:16" x14ac:dyDescent="0.35">
      <c r="A9" t="s">
        <v>115</v>
      </c>
      <c r="B9">
        <v>150</v>
      </c>
      <c r="C9">
        <v>0</v>
      </c>
      <c r="D9">
        <v>218</v>
      </c>
      <c r="E9">
        <v>148</v>
      </c>
      <c r="F9">
        <v>0</v>
      </c>
      <c r="G9">
        <v>0</v>
      </c>
      <c r="H9">
        <v>150</v>
      </c>
      <c r="I9">
        <v>0</v>
      </c>
      <c r="J9">
        <v>220</v>
      </c>
      <c r="K9">
        <v>150</v>
      </c>
      <c r="L9">
        <v>0</v>
      </c>
      <c r="M9">
        <v>0</v>
      </c>
      <c r="N9">
        <v>516</v>
      </c>
      <c r="O9">
        <v>520</v>
      </c>
      <c r="P9">
        <v>-4</v>
      </c>
    </row>
    <row r="10" spans="1:16" x14ac:dyDescent="0.35">
      <c r="A10" t="s">
        <v>116</v>
      </c>
      <c r="B10">
        <v>150</v>
      </c>
      <c r="C10">
        <v>0</v>
      </c>
      <c r="D10">
        <v>304</v>
      </c>
      <c r="E10">
        <v>190</v>
      </c>
      <c r="F10">
        <v>0</v>
      </c>
      <c r="G10">
        <v>0</v>
      </c>
      <c r="H10">
        <v>150</v>
      </c>
      <c r="I10">
        <v>0</v>
      </c>
      <c r="J10">
        <v>305</v>
      </c>
      <c r="K10">
        <v>190</v>
      </c>
      <c r="L10">
        <v>0</v>
      </c>
      <c r="M10">
        <v>0</v>
      </c>
      <c r="N10">
        <v>644</v>
      </c>
      <c r="O10">
        <v>645</v>
      </c>
      <c r="P10">
        <v>-1</v>
      </c>
    </row>
    <row r="11" spans="1:16" x14ac:dyDescent="0.35">
      <c r="A11" t="s">
        <v>117</v>
      </c>
      <c r="B11">
        <v>150</v>
      </c>
      <c r="C11">
        <v>0</v>
      </c>
      <c r="D11">
        <v>355</v>
      </c>
      <c r="E11">
        <v>201</v>
      </c>
      <c r="F11">
        <v>0</v>
      </c>
      <c r="G11">
        <v>0</v>
      </c>
      <c r="H11">
        <v>150</v>
      </c>
      <c r="I11">
        <v>0</v>
      </c>
      <c r="J11">
        <v>355</v>
      </c>
      <c r="K11">
        <v>200</v>
      </c>
      <c r="L11">
        <v>0</v>
      </c>
      <c r="M11">
        <v>0</v>
      </c>
      <c r="N11">
        <v>706</v>
      </c>
      <c r="O11">
        <v>705</v>
      </c>
      <c r="P11">
        <v>1</v>
      </c>
    </row>
    <row r="12" spans="1:16" x14ac:dyDescent="0.35">
      <c r="A12" t="s">
        <v>118</v>
      </c>
      <c r="B12">
        <v>150</v>
      </c>
      <c r="C12">
        <v>0</v>
      </c>
      <c r="D12">
        <v>158</v>
      </c>
      <c r="E12">
        <v>90</v>
      </c>
      <c r="F12">
        <v>0</v>
      </c>
      <c r="G12">
        <v>0</v>
      </c>
      <c r="H12">
        <v>150</v>
      </c>
      <c r="I12">
        <v>0</v>
      </c>
      <c r="J12">
        <v>160</v>
      </c>
      <c r="K12">
        <v>90</v>
      </c>
      <c r="L12">
        <v>0</v>
      </c>
      <c r="M12">
        <v>0</v>
      </c>
      <c r="N12">
        <v>398</v>
      </c>
      <c r="O12">
        <v>400</v>
      </c>
      <c r="P12">
        <v>-2</v>
      </c>
    </row>
    <row r="13" spans="1:16" x14ac:dyDescent="0.35">
      <c r="A13" t="s">
        <v>119</v>
      </c>
      <c r="B13">
        <v>150</v>
      </c>
      <c r="C13">
        <v>0</v>
      </c>
      <c r="D13">
        <v>234</v>
      </c>
      <c r="E13">
        <v>198</v>
      </c>
      <c r="F13">
        <v>34</v>
      </c>
      <c r="G13">
        <v>0</v>
      </c>
      <c r="H13">
        <v>150</v>
      </c>
      <c r="I13">
        <v>0</v>
      </c>
      <c r="J13">
        <v>235</v>
      </c>
      <c r="K13">
        <v>200</v>
      </c>
      <c r="L13">
        <v>35</v>
      </c>
      <c r="M13">
        <v>0</v>
      </c>
      <c r="N13">
        <v>616</v>
      </c>
      <c r="O13">
        <v>620</v>
      </c>
      <c r="P13">
        <v>-4</v>
      </c>
    </row>
    <row r="14" spans="1:16" x14ac:dyDescent="0.35">
      <c r="A14" t="s">
        <v>120</v>
      </c>
      <c r="B14">
        <v>150</v>
      </c>
      <c r="C14">
        <v>0</v>
      </c>
      <c r="D14">
        <v>229</v>
      </c>
      <c r="E14">
        <v>234</v>
      </c>
      <c r="F14">
        <v>29</v>
      </c>
      <c r="G14">
        <v>0</v>
      </c>
      <c r="H14">
        <v>150</v>
      </c>
      <c r="I14">
        <v>0</v>
      </c>
      <c r="J14">
        <v>230</v>
      </c>
      <c r="K14">
        <v>235</v>
      </c>
      <c r="L14">
        <v>30</v>
      </c>
      <c r="M14">
        <v>0</v>
      </c>
      <c r="N14">
        <v>642</v>
      </c>
      <c r="O14">
        <v>645</v>
      </c>
      <c r="P14">
        <v>-3</v>
      </c>
    </row>
    <row r="15" spans="1:16" x14ac:dyDescent="0.35">
      <c r="A15" t="s">
        <v>121</v>
      </c>
      <c r="B15">
        <v>150</v>
      </c>
      <c r="C15">
        <v>0</v>
      </c>
      <c r="D15">
        <v>231</v>
      </c>
      <c r="E15">
        <v>194</v>
      </c>
      <c r="F15">
        <v>46</v>
      </c>
      <c r="G15">
        <v>0</v>
      </c>
      <c r="H15">
        <v>150</v>
      </c>
      <c r="I15">
        <v>0</v>
      </c>
      <c r="J15">
        <v>230</v>
      </c>
      <c r="K15">
        <v>195</v>
      </c>
      <c r="L15">
        <v>45</v>
      </c>
      <c r="M15">
        <v>0</v>
      </c>
      <c r="N15">
        <v>621</v>
      </c>
      <c r="O15">
        <v>620</v>
      </c>
      <c r="P15">
        <v>1</v>
      </c>
    </row>
    <row r="16" spans="1:16" x14ac:dyDescent="0.35">
      <c r="A16" t="s">
        <v>122</v>
      </c>
      <c r="B16">
        <v>150</v>
      </c>
      <c r="C16">
        <v>0</v>
      </c>
      <c r="D16">
        <v>118</v>
      </c>
      <c r="E16">
        <v>133</v>
      </c>
      <c r="F16">
        <v>31</v>
      </c>
      <c r="G16">
        <v>0</v>
      </c>
      <c r="H16">
        <v>150</v>
      </c>
      <c r="I16">
        <v>0</v>
      </c>
      <c r="J16">
        <v>120</v>
      </c>
      <c r="K16">
        <v>135</v>
      </c>
      <c r="L16">
        <v>30</v>
      </c>
      <c r="M16">
        <v>0</v>
      </c>
      <c r="N16">
        <v>432</v>
      </c>
      <c r="O16">
        <v>435</v>
      </c>
      <c r="P16">
        <v>-3</v>
      </c>
    </row>
    <row r="17" spans="1:16" x14ac:dyDescent="0.35">
      <c r="A17" t="s">
        <v>123</v>
      </c>
      <c r="B17">
        <v>150</v>
      </c>
      <c r="C17">
        <v>0</v>
      </c>
      <c r="D17">
        <v>253</v>
      </c>
      <c r="E17">
        <v>229</v>
      </c>
      <c r="F17">
        <v>34</v>
      </c>
      <c r="G17">
        <v>0</v>
      </c>
      <c r="H17">
        <v>150</v>
      </c>
      <c r="I17">
        <v>0</v>
      </c>
      <c r="J17">
        <v>255</v>
      </c>
      <c r="K17">
        <v>230</v>
      </c>
      <c r="L17">
        <v>35</v>
      </c>
      <c r="M17">
        <v>0</v>
      </c>
      <c r="N17">
        <v>666</v>
      </c>
      <c r="O17">
        <v>670</v>
      </c>
      <c r="P17">
        <v>-4</v>
      </c>
    </row>
    <row r="18" spans="1:16" x14ac:dyDescent="0.35">
      <c r="A18" t="s">
        <v>124</v>
      </c>
      <c r="B18">
        <v>150</v>
      </c>
      <c r="C18">
        <v>0</v>
      </c>
      <c r="D18">
        <v>254</v>
      </c>
      <c r="E18">
        <v>226</v>
      </c>
      <c r="F18">
        <v>34</v>
      </c>
      <c r="G18">
        <v>0</v>
      </c>
      <c r="H18">
        <v>150</v>
      </c>
      <c r="I18">
        <v>0</v>
      </c>
      <c r="J18">
        <v>255</v>
      </c>
      <c r="K18">
        <v>225</v>
      </c>
      <c r="L18">
        <v>35</v>
      </c>
      <c r="M18">
        <v>0</v>
      </c>
      <c r="N18">
        <v>664</v>
      </c>
      <c r="O18">
        <v>665</v>
      </c>
      <c r="P18">
        <v>-1</v>
      </c>
    </row>
    <row r="19" spans="1:16" x14ac:dyDescent="0.35">
      <c r="A19" t="s">
        <v>125</v>
      </c>
      <c r="B19">
        <v>150</v>
      </c>
      <c r="C19">
        <v>0</v>
      </c>
      <c r="D19">
        <v>255</v>
      </c>
      <c r="E19">
        <v>228</v>
      </c>
      <c r="F19">
        <v>50</v>
      </c>
      <c r="G19">
        <v>0</v>
      </c>
      <c r="H19">
        <v>150</v>
      </c>
      <c r="I19">
        <v>0</v>
      </c>
      <c r="J19">
        <v>255</v>
      </c>
      <c r="K19">
        <v>230</v>
      </c>
      <c r="L19">
        <v>50</v>
      </c>
      <c r="M19">
        <v>0</v>
      </c>
      <c r="N19">
        <v>683</v>
      </c>
      <c r="O19">
        <v>685</v>
      </c>
      <c r="P19">
        <v>-2</v>
      </c>
    </row>
    <row r="20" spans="1:16" x14ac:dyDescent="0.35">
      <c r="A20" t="s">
        <v>126</v>
      </c>
      <c r="B20">
        <v>150</v>
      </c>
      <c r="C20">
        <v>0</v>
      </c>
      <c r="D20">
        <v>118</v>
      </c>
      <c r="E20">
        <v>131</v>
      </c>
      <c r="F20">
        <v>31</v>
      </c>
      <c r="G20">
        <v>0</v>
      </c>
      <c r="H20">
        <v>150</v>
      </c>
      <c r="I20">
        <v>0</v>
      </c>
      <c r="J20">
        <v>120</v>
      </c>
      <c r="K20">
        <v>130</v>
      </c>
      <c r="L20">
        <v>30</v>
      </c>
      <c r="M20">
        <v>0</v>
      </c>
      <c r="N20">
        <v>430</v>
      </c>
      <c r="O20">
        <v>430</v>
      </c>
      <c r="P20">
        <v>0</v>
      </c>
    </row>
    <row r="21" spans="1:16" x14ac:dyDescent="0.35">
      <c r="A21" t="s">
        <v>127</v>
      </c>
      <c r="B21">
        <v>150</v>
      </c>
      <c r="C21">
        <v>0</v>
      </c>
      <c r="D21">
        <v>156</v>
      </c>
      <c r="E21">
        <v>165</v>
      </c>
      <c r="F21">
        <v>31</v>
      </c>
      <c r="G21">
        <v>0</v>
      </c>
      <c r="H21">
        <v>150</v>
      </c>
      <c r="I21">
        <v>0</v>
      </c>
      <c r="J21">
        <v>155</v>
      </c>
      <c r="K21">
        <v>165</v>
      </c>
      <c r="L21">
        <v>30</v>
      </c>
      <c r="M21">
        <v>0</v>
      </c>
      <c r="N21">
        <v>502</v>
      </c>
      <c r="O21">
        <v>500</v>
      </c>
      <c r="P21">
        <v>2</v>
      </c>
    </row>
    <row r="22" spans="1:16" x14ac:dyDescent="0.35">
      <c r="A22" t="s">
        <v>128</v>
      </c>
      <c r="B22">
        <v>150</v>
      </c>
      <c r="C22">
        <v>0</v>
      </c>
      <c r="D22">
        <v>152</v>
      </c>
      <c r="E22">
        <v>96</v>
      </c>
      <c r="F22">
        <v>0</v>
      </c>
      <c r="G22">
        <v>0</v>
      </c>
      <c r="H22">
        <v>150</v>
      </c>
      <c r="I22">
        <v>0</v>
      </c>
      <c r="J22">
        <v>150</v>
      </c>
      <c r="K22">
        <v>95</v>
      </c>
      <c r="L22">
        <v>0</v>
      </c>
      <c r="M22">
        <v>0</v>
      </c>
      <c r="N22">
        <v>398</v>
      </c>
      <c r="O22">
        <v>395</v>
      </c>
      <c r="P22">
        <v>3</v>
      </c>
    </row>
    <row r="23" spans="1:16" x14ac:dyDescent="0.35">
      <c r="A23" t="s">
        <v>129</v>
      </c>
      <c r="B23">
        <v>150</v>
      </c>
      <c r="C23">
        <v>0</v>
      </c>
      <c r="D23">
        <v>100</v>
      </c>
      <c r="E23">
        <v>35</v>
      </c>
      <c r="F23">
        <v>0</v>
      </c>
      <c r="G23">
        <v>0</v>
      </c>
      <c r="H23">
        <v>150</v>
      </c>
      <c r="I23">
        <v>0</v>
      </c>
      <c r="J23">
        <v>100</v>
      </c>
      <c r="K23">
        <v>35</v>
      </c>
      <c r="L23">
        <v>0</v>
      </c>
      <c r="M23">
        <v>0</v>
      </c>
      <c r="N23">
        <v>285</v>
      </c>
      <c r="O23">
        <v>285</v>
      </c>
      <c r="P23">
        <v>0</v>
      </c>
    </row>
    <row r="24" spans="1:16" x14ac:dyDescent="0.35">
      <c r="A24" t="s">
        <v>130</v>
      </c>
      <c r="B24">
        <v>150</v>
      </c>
      <c r="C24">
        <v>0</v>
      </c>
      <c r="D24">
        <v>100</v>
      </c>
      <c r="E24">
        <v>35</v>
      </c>
      <c r="F24">
        <v>0</v>
      </c>
      <c r="G24">
        <v>0</v>
      </c>
      <c r="H24">
        <v>150</v>
      </c>
      <c r="I24">
        <v>0</v>
      </c>
      <c r="J24">
        <v>100</v>
      </c>
      <c r="K24">
        <v>35</v>
      </c>
      <c r="L24">
        <v>0</v>
      </c>
      <c r="M24">
        <v>0</v>
      </c>
      <c r="N24">
        <v>285</v>
      </c>
      <c r="O24">
        <v>285</v>
      </c>
      <c r="P24">
        <v>0</v>
      </c>
    </row>
    <row r="25" spans="1:16" x14ac:dyDescent="0.35">
      <c r="A25" t="s">
        <v>131</v>
      </c>
      <c r="B25">
        <v>150</v>
      </c>
      <c r="C25">
        <v>0</v>
      </c>
      <c r="D25">
        <v>100</v>
      </c>
      <c r="E25">
        <v>35</v>
      </c>
      <c r="F25">
        <v>0</v>
      </c>
      <c r="G25">
        <v>0</v>
      </c>
      <c r="H25">
        <v>150</v>
      </c>
      <c r="I25">
        <v>0</v>
      </c>
      <c r="J25">
        <v>100</v>
      </c>
      <c r="K25">
        <v>35</v>
      </c>
      <c r="L25">
        <v>0</v>
      </c>
      <c r="M25">
        <v>0</v>
      </c>
      <c r="N25">
        <v>285</v>
      </c>
      <c r="O25">
        <v>285</v>
      </c>
      <c r="P25">
        <v>0</v>
      </c>
    </row>
    <row r="26" spans="1:16" x14ac:dyDescent="0.35">
      <c r="A26" t="s">
        <v>132</v>
      </c>
      <c r="B26">
        <v>0</v>
      </c>
      <c r="C26">
        <v>0</v>
      </c>
      <c r="D26">
        <v>100</v>
      </c>
      <c r="E26">
        <v>35</v>
      </c>
      <c r="F26">
        <v>0</v>
      </c>
      <c r="G26">
        <v>0</v>
      </c>
      <c r="H26">
        <v>0</v>
      </c>
      <c r="I26">
        <v>0</v>
      </c>
      <c r="J26">
        <v>100</v>
      </c>
      <c r="K26">
        <v>35</v>
      </c>
      <c r="L26">
        <v>0</v>
      </c>
      <c r="M26">
        <v>0</v>
      </c>
      <c r="N26">
        <v>135</v>
      </c>
      <c r="O26">
        <v>135</v>
      </c>
      <c r="P26">
        <v>0</v>
      </c>
    </row>
    <row r="27" spans="1:16" x14ac:dyDescent="0.35">
      <c r="A27" t="s">
        <v>133</v>
      </c>
      <c r="B27">
        <v>150</v>
      </c>
      <c r="C27">
        <v>0</v>
      </c>
      <c r="D27">
        <v>100</v>
      </c>
      <c r="E27">
        <v>35</v>
      </c>
      <c r="F27">
        <v>0</v>
      </c>
      <c r="G27">
        <v>0</v>
      </c>
      <c r="H27">
        <v>150</v>
      </c>
      <c r="I27">
        <v>0</v>
      </c>
      <c r="J27">
        <v>100</v>
      </c>
      <c r="K27">
        <v>35</v>
      </c>
      <c r="L27">
        <v>0</v>
      </c>
      <c r="M27">
        <v>0</v>
      </c>
      <c r="N27">
        <v>285</v>
      </c>
      <c r="O27">
        <v>285</v>
      </c>
      <c r="P27">
        <v>0</v>
      </c>
    </row>
    <row r="28" spans="1:16" x14ac:dyDescent="0.35">
      <c r="A28" t="s">
        <v>134</v>
      </c>
      <c r="B28">
        <v>150</v>
      </c>
      <c r="C28">
        <v>0</v>
      </c>
      <c r="D28">
        <v>100</v>
      </c>
      <c r="E28">
        <v>35</v>
      </c>
      <c r="F28">
        <v>0</v>
      </c>
      <c r="G28">
        <v>0</v>
      </c>
      <c r="H28">
        <v>150</v>
      </c>
      <c r="I28">
        <v>0</v>
      </c>
      <c r="J28">
        <v>100</v>
      </c>
      <c r="K28">
        <v>35</v>
      </c>
      <c r="L28">
        <v>0</v>
      </c>
      <c r="M28">
        <v>0</v>
      </c>
      <c r="N28">
        <v>285</v>
      </c>
      <c r="O28">
        <v>285</v>
      </c>
      <c r="P28">
        <v>0</v>
      </c>
    </row>
    <row r="29" spans="1:16" x14ac:dyDescent="0.35">
      <c r="A29" t="s">
        <v>135</v>
      </c>
      <c r="B29">
        <v>150</v>
      </c>
      <c r="C29">
        <v>0</v>
      </c>
      <c r="D29">
        <v>100</v>
      </c>
      <c r="E29">
        <v>35</v>
      </c>
      <c r="F29">
        <v>0</v>
      </c>
      <c r="G29">
        <v>0</v>
      </c>
      <c r="H29">
        <v>150</v>
      </c>
      <c r="I29">
        <v>0</v>
      </c>
      <c r="J29">
        <v>100</v>
      </c>
      <c r="K29">
        <v>35</v>
      </c>
      <c r="L29">
        <v>0</v>
      </c>
      <c r="M29">
        <v>0</v>
      </c>
      <c r="N29">
        <v>285</v>
      </c>
      <c r="O29">
        <v>285</v>
      </c>
      <c r="P29">
        <v>0</v>
      </c>
    </row>
    <row r="30" spans="1:16" x14ac:dyDescent="0.35">
      <c r="A30" t="s">
        <v>136</v>
      </c>
      <c r="B30">
        <v>150</v>
      </c>
      <c r="C30">
        <v>0</v>
      </c>
      <c r="D30">
        <v>172</v>
      </c>
      <c r="E30">
        <v>35</v>
      </c>
      <c r="F30">
        <v>0</v>
      </c>
      <c r="G30">
        <v>0</v>
      </c>
      <c r="H30">
        <v>150</v>
      </c>
      <c r="I30">
        <v>0</v>
      </c>
      <c r="J30">
        <v>170</v>
      </c>
      <c r="K30">
        <v>35</v>
      </c>
      <c r="L30">
        <v>0</v>
      </c>
      <c r="M30">
        <v>0</v>
      </c>
      <c r="N30">
        <v>357</v>
      </c>
      <c r="O30">
        <v>355</v>
      </c>
      <c r="P30">
        <v>2</v>
      </c>
    </row>
    <row r="31" spans="1:16" x14ac:dyDescent="0.35">
      <c r="A31" t="s">
        <v>137</v>
      </c>
      <c r="B31">
        <v>150</v>
      </c>
      <c r="C31">
        <v>0</v>
      </c>
      <c r="D31">
        <v>172</v>
      </c>
      <c r="E31">
        <v>35</v>
      </c>
      <c r="F31">
        <v>0</v>
      </c>
      <c r="G31">
        <v>0</v>
      </c>
      <c r="H31">
        <v>150</v>
      </c>
      <c r="I31">
        <v>0</v>
      </c>
      <c r="J31">
        <v>170</v>
      </c>
      <c r="K31">
        <v>35</v>
      </c>
      <c r="L31">
        <v>0</v>
      </c>
      <c r="M31">
        <v>0</v>
      </c>
      <c r="N31">
        <v>357</v>
      </c>
      <c r="O31">
        <v>355</v>
      </c>
      <c r="P31">
        <v>2</v>
      </c>
    </row>
    <row r="32" spans="1:16" x14ac:dyDescent="0.35">
      <c r="A32" t="s">
        <v>138</v>
      </c>
      <c r="B32">
        <v>150</v>
      </c>
      <c r="C32">
        <v>0</v>
      </c>
      <c r="D32">
        <v>172</v>
      </c>
      <c r="E32">
        <v>35</v>
      </c>
      <c r="F32">
        <v>0</v>
      </c>
      <c r="G32">
        <v>0</v>
      </c>
      <c r="H32">
        <v>150</v>
      </c>
      <c r="I32">
        <v>0</v>
      </c>
      <c r="J32">
        <v>170</v>
      </c>
      <c r="K32">
        <v>35</v>
      </c>
      <c r="L32">
        <v>0</v>
      </c>
      <c r="M32">
        <v>0</v>
      </c>
      <c r="N32">
        <v>357</v>
      </c>
      <c r="O32">
        <v>355</v>
      </c>
      <c r="P32">
        <v>2</v>
      </c>
    </row>
    <row r="33" spans="1:16" x14ac:dyDescent="0.35">
      <c r="A33" t="s">
        <v>139</v>
      </c>
      <c r="B33">
        <v>150</v>
      </c>
      <c r="C33">
        <v>0</v>
      </c>
      <c r="D33">
        <v>172</v>
      </c>
      <c r="E33">
        <v>35</v>
      </c>
      <c r="F33">
        <v>0</v>
      </c>
      <c r="G33">
        <v>0</v>
      </c>
      <c r="H33">
        <v>150</v>
      </c>
      <c r="I33">
        <v>0</v>
      </c>
      <c r="J33">
        <v>170</v>
      </c>
      <c r="K33">
        <v>35</v>
      </c>
      <c r="L33">
        <v>0</v>
      </c>
      <c r="M33">
        <v>0</v>
      </c>
      <c r="N33">
        <v>357</v>
      </c>
      <c r="O33">
        <v>355</v>
      </c>
      <c r="P33">
        <v>2</v>
      </c>
    </row>
    <row r="34" spans="1:16" x14ac:dyDescent="0.35">
      <c r="A34" t="s">
        <v>140</v>
      </c>
      <c r="B34">
        <v>150</v>
      </c>
      <c r="C34">
        <v>0</v>
      </c>
      <c r="D34">
        <v>172</v>
      </c>
      <c r="E34">
        <v>35</v>
      </c>
      <c r="F34">
        <v>0</v>
      </c>
      <c r="G34">
        <v>0</v>
      </c>
      <c r="H34">
        <v>150</v>
      </c>
      <c r="I34">
        <v>0</v>
      </c>
      <c r="J34">
        <v>170</v>
      </c>
      <c r="K34">
        <v>35</v>
      </c>
      <c r="L34">
        <v>0</v>
      </c>
      <c r="M34">
        <v>0</v>
      </c>
      <c r="N34">
        <v>357</v>
      </c>
      <c r="O34">
        <v>355</v>
      </c>
      <c r="P34">
        <v>2</v>
      </c>
    </row>
    <row r="35" spans="1:16" x14ac:dyDescent="0.35">
      <c r="A35" t="s">
        <v>141</v>
      </c>
      <c r="B35">
        <v>150</v>
      </c>
      <c r="C35">
        <v>0</v>
      </c>
      <c r="D35">
        <v>144</v>
      </c>
      <c r="E35">
        <v>0</v>
      </c>
      <c r="F35">
        <v>0</v>
      </c>
      <c r="G35">
        <v>0</v>
      </c>
      <c r="H35">
        <v>150</v>
      </c>
      <c r="I35">
        <v>0</v>
      </c>
      <c r="J35">
        <v>145</v>
      </c>
      <c r="K35">
        <v>0</v>
      </c>
      <c r="L35">
        <v>0</v>
      </c>
      <c r="M35">
        <v>0</v>
      </c>
      <c r="N35">
        <v>294</v>
      </c>
      <c r="O35">
        <v>295</v>
      </c>
      <c r="P35">
        <v>-1</v>
      </c>
    </row>
    <row r="36" spans="1:16" x14ac:dyDescent="0.35">
      <c r="A36" t="s">
        <v>142</v>
      </c>
      <c r="B36">
        <v>150</v>
      </c>
      <c r="C36">
        <v>0</v>
      </c>
      <c r="D36">
        <v>0</v>
      </c>
      <c r="E36">
        <v>0</v>
      </c>
      <c r="F36">
        <v>0</v>
      </c>
      <c r="G36">
        <v>0</v>
      </c>
      <c r="H36">
        <v>150</v>
      </c>
      <c r="I36">
        <v>0</v>
      </c>
      <c r="J36">
        <v>0</v>
      </c>
      <c r="K36">
        <v>0</v>
      </c>
      <c r="L36">
        <v>0</v>
      </c>
      <c r="M36">
        <v>0</v>
      </c>
      <c r="N36">
        <v>150</v>
      </c>
      <c r="O36">
        <v>150</v>
      </c>
      <c r="P36">
        <v>0</v>
      </c>
    </row>
    <row r="37" spans="1:16" x14ac:dyDescent="0.35">
      <c r="A37" t="s">
        <v>143</v>
      </c>
      <c r="B37">
        <v>150</v>
      </c>
      <c r="C37">
        <v>0</v>
      </c>
      <c r="D37">
        <v>0</v>
      </c>
      <c r="E37">
        <v>0</v>
      </c>
      <c r="F37">
        <v>0</v>
      </c>
      <c r="G37">
        <v>0</v>
      </c>
      <c r="H37">
        <v>150</v>
      </c>
      <c r="I37">
        <v>0</v>
      </c>
      <c r="J37">
        <v>0</v>
      </c>
      <c r="K37">
        <v>0</v>
      </c>
      <c r="L37">
        <v>0</v>
      </c>
      <c r="M37">
        <v>0</v>
      </c>
      <c r="N37">
        <v>150</v>
      </c>
      <c r="O37">
        <v>150</v>
      </c>
      <c r="P37">
        <v>0</v>
      </c>
    </row>
    <row r="38" spans="1:16" x14ac:dyDescent="0.35">
      <c r="A38" t="s">
        <v>144</v>
      </c>
      <c r="B38">
        <v>150</v>
      </c>
      <c r="C38">
        <v>0</v>
      </c>
      <c r="D38">
        <v>0</v>
      </c>
      <c r="E38">
        <v>0</v>
      </c>
      <c r="F38">
        <v>0</v>
      </c>
      <c r="G38">
        <v>0</v>
      </c>
      <c r="H38">
        <v>150</v>
      </c>
      <c r="I38">
        <v>0</v>
      </c>
      <c r="J38">
        <v>0</v>
      </c>
      <c r="K38">
        <v>0</v>
      </c>
      <c r="L38">
        <v>0</v>
      </c>
      <c r="M38">
        <v>0</v>
      </c>
      <c r="N38">
        <v>150</v>
      </c>
      <c r="O38">
        <v>150</v>
      </c>
      <c r="P38">
        <v>0</v>
      </c>
    </row>
    <row r="39" spans="1:16" x14ac:dyDescent="0.35">
      <c r="A39" t="s">
        <v>145</v>
      </c>
      <c r="B39">
        <v>150</v>
      </c>
      <c r="C39">
        <v>0</v>
      </c>
      <c r="D39">
        <v>0</v>
      </c>
      <c r="E39">
        <v>0</v>
      </c>
      <c r="F39">
        <v>0</v>
      </c>
      <c r="G39">
        <v>0</v>
      </c>
      <c r="H39">
        <v>150</v>
      </c>
      <c r="I39">
        <v>0</v>
      </c>
      <c r="J39">
        <v>0</v>
      </c>
      <c r="K39">
        <v>0</v>
      </c>
      <c r="L39">
        <v>0</v>
      </c>
      <c r="M39">
        <v>0</v>
      </c>
      <c r="N39">
        <v>150</v>
      </c>
      <c r="O39">
        <v>150</v>
      </c>
      <c r="P39">
        <v>0</v>
      </c>
    </row>
    <row r="40" spans="1:16" x14ac:dyDescent="0.35">
      <c r="A40" t="s">
        <v>146</v>
      </c>
      <c r="B40">
        <v>150</v>
      </c>
      <c r="C40">
        <v>0</v>
      </c>
      <c r="D40">
        <v>0</v>
      </c>
      <c r="E40">
        <v>0</v>
      </c>
      <c r="F40">
        <v>0</v>
      </c>
      <c r="G40">
        <v>0</v>
      </c>
      <c r="H40">
        <v>150</v>
      </c>
      <c r="I40">
        <v>0</v>
      </c>
      <c r="J40">
        <v>0</v>
      </c>
      <c r="K40">
        <v>0</v>
      </c>
      <c r="L40">
        <v>0</v>
      </c>
      <c r="M40">
        <v>0</v>
      </c>
      <c r="N40">
        <v>150</v>
      </c>
      <c r="O40">
        <v>150</v>
      </c>
      <c r="P40">
        <v>0</v>
      </c>
    </row>
    <row r="41" spans="1:16" x14ac:dyDescent="0.35">
      <c r="A41" t="s">
        <v>147</v>
      </c>
      <c r="B41">
        <v>0</v>
      </c>
      <c r="C41">
        <v>0</v>
      </c>
      <c r="D41">
        <v>0</v>
      </c>
      <c r="E41">
        <v>0</v>
      </c>
      <c r="F41">
        <v>0</v>
      </c>
      <c r="G41">
        <v>0</v>
      </c>
      <c r="H41">
        <v>150</v>
      </c>
      <c r="I41">
        <v>0</v>
      </c>
      <c r="J41">
        <v>0</v>
      </c>
      <c r="K41">
        <v>0</v>
      </c>
      <c r="L41">
        <v>0</v>
      </c>
      <c r="M41">
        <v>0</v>
      </c>
      <c r="N41">
        <v>0</v>
      </c>
      <c r="O41">
        <v>150</v>
      </c>
      <c r="P41">
        <v>-150</v>
      </c>
    </row>
    <row r="42" spans="1:16" x14ac:dyDescent="0.35">
      <c r="A42" t="s">
        <v>148</v>
      </c>
      <c r="B42">
        <v>0</v>
      </c>
      <c r="C42">
        <v>0</v>
      </c>
      <c r="D42">
        <v>0</v>
      </c>
      <c r="E42">
        <v>0</v>
      </c>
      <c r="F42">
        <v>0</v>
      </c>
      <c r="G42">
        <v>0</v>
      </c>
      <c r="H42">
        <v>150</v>
      </c>
      <c r="I42">
        <v>0</v>
      </c>
      <c r="J42">
        <v>0</v>
      </c>
      <c r="K42">
        <v>0</v>
      </c>
      <c r="L42">
        <v>0</v>
      </c>
      <c r="M42">
        <v>0</v>
      </c>
      <c r="N42">
        <v>0</v>
      </c>
      <c r="O42">
        <v>150</v>
      </c>
      <c r="P42">
        <v>-150</v>
      </c>
    </row>
    <row r="43" spans="1:16" x14ac:dyDescent="0.35">
      <c r="A43" t="s">
        <v>149</v>
      </c>
      <c r="B43">
        <v>0</v>
      </c>
      <c r="C43">
        <v>0</v>
      </c>
      <c r="D43">
        <v>0</v>
      </c>
      <c r="E43">
        <v>0</v>
      </c>
      <c r="F43">
        <v>0</v>
      </c>
      <c r="G43">
        <v>0</v>
      </c>
      <c r="H43">
        <v>150</v>
      </c>
      <c r="I43">
        <v>0</v>
      </c>
      <c r="J43">
        <v>0</v>
      </c>
      <c r="K43">
        <v>0</v>
      </c>
      <c r="L43">
        <v>0</v>
      </c>
      <c r="M43">
        <v>0</v>
      </c>
      <c r="N43">
        <v>0</v>
      </c>
      <c r="O43">
        <v>150</v>
      </c>
      <c r="P43">
        <v>-150</v>
      </c>
    </row>
    <row r="44" spans="1:16" x14ac:dyDescent="0.35">
      <c r="A44" t="s">
        <v>150</v>
      </c>
      <c r="B44">
        <v>0</v>
      </c>
      <c r="C44">
        <v>0</v>
      </c>
      <c r="D44">
        <v>0</v>
      </c>
      <c r="E44">
        <v>0</v>
      </c>
      <c r="F44">
        <v>0</v>
      </c>
      <c r="G44">
        <v>0</v>
      </c>
      <c r="H44">
        <v>150</v>
      </c>
      <c r="I44">
        <v>0</v>
      </c>
      <c r="J44">
        <v>0</v>
      </c>
      <c r="K44">
        <v>0</v>
      </c>
      <c r="L44">
        <v>0</v>
      </c>
      <c r="M44">
        <v>0</v>
      </c>
      <c r="N44">
        <v>0</v>
      </c>
      <c r="O44">
        <v>150</v>
      </c>
      <c r="P44">
        <v>-150</v>
      </c>
    </row>
    <row r="45" spans="1:16" x14ac:dyDescent="0.35">
      <c r="A45" t="s">
        <v>151</v>
      </c>
      <c r="B45">
        <v>0</v>
      </c>
      <c r="C45">
        <v>0</v>
      </c>
      <c r="D45">
        <v>0</v>
      </c>
      <c r="E45">
        <v>0</v>
      </c>
      <c r="F45">
        <v>0</v>
      </c>
      <c r="G45">
        <v>0</v>
      </c>
      <c r="H45">
        <v>150</v>
      </c>
      <c r="I45">
        <v>0</v>
      </c>
      <c r="J45">
        <v>0</v>
      </c>
      <c r="K45">
        <v>0</v>
      </c>
      <c r="L45">
        <v>0</v>
      </c>
      <c r="M45">
        <v>0</v>
      </c>
      <c r="N45">
        <v>0</v>
      </c>
      <c r="O45">
        <v>150</v>
      </c>
      <c r="P45">
        <v>-150</v>
      </c>
    </row>
    <row r="46" spans="1:16" x14ac:dyDescent="0.35">
      <c r="A46" t="s">
        <v>152</v>
      </c>
      <c r="B46">
        <v>0</v>
      </c>
      <c r="C46">
        <v>0</v>
      </c>
      <c r="D46">
        <v>0</v>
      </c>
      <c r="E46">
        <v>0</v>
      </c>
      <c r="F46">
        <v>0</v>
      </c>
      <c r="G46">
        <v>0</v>
      </c>
      <c r="H46">
        <v>150</v>
      </c>
      <c r="I46">
        <v>0</v>
      </c>
      <c r="J46">
        <v>0</v>
      </c>
      <c r="K46">
        <v>0</v>
      </c>
      <c r="L46">
        <v>0</v>
      </c>
      <c r="M46">
        <v>0</v>
      </c>
      <c r="N46">
        <v>0</v>
      </c>
      <c r="O46">
        <v>150</v>
      </c>
      <c r="P46">
        <v>-150</v>
      </c>
    </row>
    <row r="47" spans="1:16" x14ac:dyDescent="0.35">
      <c r="A47" t="s">
        <v>153</v>
      </c>
      <c r="B47">
        <v>0</v>
      </c>
      <c r="C47">
        <v>0</v>
      </c>
      <c r="D47">
        <v>0</v>
      </c>
      <c r="E47">
        <v>0</v>
      </c>
      <c r="F47">
        <v>0</v>
      </c>
      <c r="G47">
        <v>0</v>
      </c>
      <c r="H47">
        <v>150</v>
      </c>
      <c r="I47">
        <v>0</v>
      </c>
      <c r="J47">
        <v>0</v>
      </c>
      <c r="K47">
        <v>0</v>
      </c>
      <c r="L47">
        <v>0</v>
      </c>
      <c r="M47">
        <v>0</v>
      </c>
      <c r="N47">
        <v>0</v>
      </c>
      <c r="O47">
        <v>150</v>
      </c>
      <c r="P47">
        <v>-150</v>
      </c>
    </row>
    <row r="48" spans="1:16" x14ac:dyDescent="0.35">
      <c r="A48" t="s">
        <v>154</v>
      </c>
      <c r="B48">
        <v>0</v>
      </c>
      <c r="C48">
        <v>0</v>
      </c>
      <c r="D48">
        <v>0</v>
      </c>
      <c r="E48">
        <v>0</v>
      </c>
      <c r="F48">
        <v>0</v>
      </c>
      <c r="G48">
        <v>0</v>
      </c>
      <c r="H48">
        <v>150</v>
      </c>
      <c r="I48">
        <v>0</v>
      </c>
      <c r="J48">
        <v>0</v>
      </c>
      <c r="K48">
        <v>0</v>
      </c>
      <c r="L48">
        <v>0</v>
      </c>
      <c r="M48">
        <v>0</v>
      </c>
      <c r="N48">
        <v>0</v>
      </c>
      <c r="O48">
        <v>150</v>
      </c>
      <c r="P48">
        <v>-150</v>
      </c>
    </row>
    <row r="49" spans="1:16" x14ac:dyDescent="0.35">
      <c r="A49" t="s">
        <v>155</v>
      </c>
      <c r="B49">
        <v>0</v>
      </c>
      <c r="C49">
        <v>0</v>
      </c>
      <c r="D49">
        <v>0</v>
      </c>
      <c r="E49">
        <v>0</v>
      </c>
      <c r="F49">
        <v>0</v>
      </c>
      <c r="G49">
        <v>0</v>
      </c>
      <c r="H49">
        <v>150</v>
      </c>
      <c r="I49">
        <v>0</v>
      </c>
      <c r="J49">
        <v>0</v>
      </c>
      <c r="K49">
        <v>0</v>
      </c>
      <c r="L49">
        <v>0</v>
      </c>
      <c r="M49">
        <v>0</v>
      </c>
      <c r="N49">
        <v>0</v>
      </c>
      <c r="O49">
        <v>150</v>
      </c>
      <c r="P49">
        <v>-150</v>
      </c>
    </row>
    <row r="50" spans="1:16" x14ac:dyDescent="0.35">
      <c r="A50" t="s">
        <v>156</v>
      </c>
      <c r="B50">
        <v>0</v>
      </c>
      <c r="C50">
        <v>0</v>
      </c>
      <c r="D50">
        <v>0</v>
      </c>
      <c r="E50">
        <v>0</v>
      </c>
      <c r="F50">
        <v>0</v>
      </c>
      <c r="G50">
        <v>0</v>
      </c>
      <c r="H50">
        <v>150</v>
      </c>
      <c r="I50">
        <v>0</v>
      </c>
      <c r="J50">
        <v>0</v>
      </c>
      <c r="K50">
        <v>0</v>
      </c>
      <c r="L50">
        <v>0</v>
      </c>
      <c r="M50">
        <v>0</v>
      </c>
      <c r="N50">
        <v>0</v>
      </c>
      <c r="O50">
        <v>150</v>
      </c>
      <c r="P50">
        <v>-150</v>
      </c>
    </row>
    <row r="51" spans="1:16" x14ac:dyDescent="0.35">
      <c r="A51" t="s">
        <v>157</v>
      </c>
      <c r="B51">
        <v>0</v>
      </c>
      <c r="C51">
        <v>0</v>
      </c>
      <c r="D51">
        <v>0</v>
      </c>
      <c r="E51">
        <v>0</v>
      </c>
      <c r="F51">
        <v>0</v>
      </c>
      <c r="G51">
        <v>0</v>
      </c>
      <c r="H51">
        <v>150</v>
      </c>
      <c r="I51">
        <v>0</v>
      </c>
      <c r="J51">
        <v>0</v>
      </c>
      <c r="K51">
        <v>0</v>
      </c>
      <c r="L51">
        <v>0</v>
      </c>
      <c r="M51">
        <v>0</v>
      </c>
      <c r="N51">
        <v>0</v>
      </c>
      <c r="O51">
        <v>150</v>
      </c>
      <c r="P51">
        <v>-150</v>
      </c>
    </row>
    <row r="52" spans="1:16" x14ac:dyDescent="0.35">
      <c r="A52" t="s">
        <v>158</v>
      </c>
      <c r="B52">
        <v>0</v>
      </c>
      <c r="C52">
        <v>0</v>
      </c>
      <c r="D52">
        <v>0</v>
      </c>
      <c r="E52">
        <v>0</v>
      </c>
      <c r="F52">
        <v>0</v>
      </c>
      <c r="G52">
        <v>0</v>
      </c>
      <c r="H52">
        <v>150</v>
      </c>
      <c r="I52">
        <v>0</v>
      </c>
      <c r="J52">
        <v>0</v>
      </c>
      <c r="K52">
        <v>0</v>
      </c>
      <c r="L52">
        <v>0</v>
      </c>
      <c r="M52">
        <v>0</v>
      </c>
      <c r="N52">
        <v>0</v>
      </c>
      <c r="O52">
        <v>150</v>
      </c>
      <c r="P52">
        <v>-150</v>
      </c>
    </row>
    <row r="53" spans="1:16" x14ac:dyDescent="0.35">
      <c r="A53" t="s">
        <v>159</v>
      </c>
      <c r="B53">
        <v>0</v>
      </c>
      <c r="C53">
        <v>0</v>
      </c>
      <c r="D53">
        <v>0</v>
      </c>
      <c r="E53">
        <v>0</v>
      </c>
      <c r="F53">
        <v>0</v>
      </c>
      <c r="G53">
        <v>0</v>
      </c>
      <c r="H53">
        <v>150</v>
      </c>
      <c r="I53">
        <v>0</v>
      </c>
      <c r="J53">
        <v>0</v>
      </c>
      <c r="K53">
        <v>0</v>
      </c>
      <c r="L53">
        <v>0</v>
      </c>
      <c r="M53">
        <v>0</v>
      </c>
      <c r="N53">
        <v>0</v>
      </c>
      <c r="O53">
        <v>150</v>
      </c>
      <c r="P53">
        <v>-150</v>
      </c>
    </row>
    <row r="54" spans="1:16" x14ac:dyDescent="0.35">
      <c r="A54" t="s">
        <v>160</v>
      </c>
      <c r="B54">
        <v>0</v>
      </c>
      <c r="C54">
        <v>0</v>
      </c>
      <c r="D54">
        <v>0</v>
      </c>
      <c r="E54">
        <v>0</v>
      </c>
      <c r="F54">
        <v>0</v>
      </c>
      <c r="G54">
        <v>0</v>
      </c>
      <c r="H54">
        <v>150</v>
      </c>
      <c r="I54">
        <v>0</v>
      </c>
      <c r="J54">
        <v>0</v>
      </c>
      <c r="K54">
        <v>0</v>
      </c>
      <c r="L54">
        <v>0</v>
      </c>
      <c r="M54">
        <v>0</v>
      </c>
      <c r="N54">
        <v>0</v>
      </c>
      <c r="O54">
        <v>150</v>
      </c>
      <c r="P54">
        <v>-150</v>
      </c>
    </row>
    <row r="55" spans="1:16" x14ac:dyDescent="0.35">
      <c r="A55" t="s">
        <v>161</v>
      </c>
      <c r="B55">
        <v>0</v>
      </c>
      <c r="C55">
        <v>0</v>
      </c>
      <c r="D55">
        <v>0</v>
      </c>
      <c r="E55">
        <v>0</v>
      </c>
      <c r="F55">
        <v>0</v>
      </c>
      <c r="G55">
        <v>0</v>
      </c>
      <c r="H55">
        <v>150</v>
      </c>
      <c r="I55">
        <v>0</v>
      </c>
      <c r="J55">
        <v>0</v>
      </c>
      <c r="K55">
        <v>0</v>
      </c>
      <c r="L55">
        <v>0</v>
      </c>
      <c r="M55">
        <v>0</v>
      </c>
      <c r="N55">
        <v>0</v>
      </c>
      <c r="O55">
        <v>150</v>
      </c>
      <c r="P55">
        <v>-150</v>
      </c>
    </row>
    <row r="56" spans="1:16" x14ac:dyDescent="0.35">
      <c r="A56" t="s">
        <v>162</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105</v>
      </c>
      <c r="C4" t="s">
        <v>106</v>
      </c>
      <c r="D4" t="s">
        <v>107</v>
      </c>
      <c r="E4" t="s">
        <v>108</v>
      </c>
      <c r="F4" t="s">
        <v>109</v>
      </c>
      <c r="G4" t="s">
        <v>110</v>
      </c>
    </row>
    <row r="5" spans="1:7" x14ac:dyDescent="0.35">
      <c r="A5" t="s">
        <v>111</v>
      </c>
      <c r="B5">
        <v>150</v>
      </c>
      <c r="C5">
        <v>0</v>
      </c>
      <c r="D5">
        <v>158</v>
      </c>
      <c r="E5">
        <v>35</v>
      </c>
      <c r="F5">
        <v>0</v>
      </c>
      <c r="G5">
        <v>0</v>
      </c>
    </row>
    <row r="6" spans="1:7" x14ac:dyDescent="0.35">
      <c r="A6" t="s">
        <v>112</v>
      </c>
      <c r="B6">
        <v>150</v>
      </c>
      <c r="C6">
        <v>0</v>
      </c>
      <c r="D6">
        <v>248</v>
      </c>
      <c r="E6">
        <v>102</v>
      </c>
      <c r="F6">
        <v>0</v>
      </c>
      <c r="G6">
        <v>0</v>
      </c>
    </row>
    <row r="7" spans="1:7" x14ac:dyDescent="0.35">
      <c r="A7" t="s">
        <v>113</v>
      </c>
      <c r="B7">
        <v>150</v>
      </c>
      <c r="C7">
        <v>0</v>
      </c>
      <c r="D7">
        <v>262</v>
      </c>
      <c r="E7">
        <v>138</v>
      </c>
      <c r="F7">
        <v>0</v>
      </c>
      <c r="G7">
        <v>0</v>
      </c>
    </row>
    <row r="8" spans="1:7" x14ac:dyDescent="0.35">
      <c r="A8" t="s">
        <v>114</v>
      </c>
      <c r="B8">
        <v>150</v>
      </c>
      <c r="C8">
        <v>0</v>
      </c>
      <c r="D8">
        <v>168</v>
      </c>
      <c r="E8">
        <v>117</v>
      </c>
      <c r="F8">
        <v>0</v>
      </c>
      <c r="G8">
        <v>0</v>
      </c>
    </row>
    <row r="9" spans="1:7" x14ac:dyDescent="0.35">
      <c r="A9" t="s">
        <v>115</v>
      </c>
      <c r="B9">
        <v>150</v>
      </c>
      <c r="C9">
        <v>0</v>
      </c>
      <c r="D9">
        <v>218</v>
      </c>
      <c r="E9">
        <v>148</v>
      </c>
      <c r="F9">
        <v>0</v>
      </c>
      <c r="G9">
        <v>0</v>
      </c>
    </row>
    <row r="10" spans="1:7" x14ac:dyDescent="0.35">
      <c r="A10" t="s">
        <v>116</v>
      </c>
      <c r="B10">
        <v>150</v>
      </c>
      <c r="C10">
        <v>0</v>
      </c>
      <c r="D10">
        <v>304</v>
      </c>
      <c r="E10">
        <v>190</v>
      </c>
      <c r="F10">
        <v>0</v>
      </c>
      <c r="G10">
        <v>0</v>
      </c>
    </row>
    <row r="11" spans="1:7" x14ac:dyDescent="0.35">
      <c r="A11" t="s">
        <v>117</v>
      </c>
      <c r="B11">
        <v>150</v>
      </c>
      <c r="C11">
        <v>0</v>
      </c>
      <c r="D11">
        <v>355</v>
      </c>
      <c r="E11">
        <v>201</v>
      </c>
      <c r="F11">
        <v>0</v>
      </c>
      <c r="G11">
        <v>0</v>
      </c>
    </row>
    <row r="12" spans="1:7" x14ac:dyDescent="0.35">
      <c r="A12" t="s">
        <v>118</v>
      </c>
      <c r="B12">
        <v>150</v>
      </c>
      <c r="C12">
        <v>0</v>
      </c>
      <c r="D12">
        <v>158</v>
      </c>
      <c r="E12">
        <v>90</v>
      </c>
      <c r="F12">
        <v>0</v>
      </c>
      <c r="G12">
        <v>0</v>
      </c>
    </row>
    <row r="13" spans="1:7" x14ac:dyDescent="0.35">
      <c r="A13" t="s">
        <v>119</v>
      </c>
      <c r="B13">
        <v>150</v>
      </c>
      <c r="C13">
        <v>0</v>
      </c>
      <c r="D13">
        <v>234</v>
      </c>
      <c r="E13">
        <v>198</v>
      </c>
      <c r="F13">
        <v>34</v>
      </c>
      <c r="G13">
        <v>0</v>
      </c>
    </row>
    <row r="14" spans="1:7" x14ac:dyDescent="0.35">
      <c r="A14" t="s">
        <v>120</v>
      </c>
      <c r="B14">
        <v>150</v>
      </c>
      <c r="C14">
        <v>0</v>
      </c>
      <c r="D14">
        <v>229</v>
      </c>
      <c r="E14">
        <v>234</v>
      </c>
      <c r="F14">
        <v>29</v>
      </c>
      <c r="G14">
        <v>0</v>
      </c>
    </row>
    <row r="15" spans="1:7" x14ac:dyDescent="0.35">
      <c r="A15" t="s">
        <v>121</v>
      </c>
      <c r="B15">
        <v>150</v>
      </c>
      <c r="C15">
        <v>0</v>
      </c>
      <c r="D15">
        <v>231</v>
      </c>
      <c r="E15">
        <v>194</v>
      </c>
      <c r="F15">
        <v>46</v>
      </c>
      <c r="G15">
        <v>0</v>
      </c>
    </row>
    <row r="16" spans="1:7" x14ac:dyDescent="0.35">
      <c r="A16" t="s">
        <v>122</v>
      </c>
      <c r="B16">
        <v>150</v>
      </c>
      <c r="C16">
        <v>0</v>
      </c>
      <c r="D16">
        <v>118</v>
      </c>
      <c r="E16">
        <v>133</v>
      </c>
      <c r="F16">
        <v>31</v>
      </c>
      <c r="G16">
        <v>0</v>
      </c>
    </row>
    <row r="17" spans="1:7" x14ac:dyDescent="0.35">
      <c r="A17" t="s">
        <v>123</v>
      </c>
      <c r="B17">
        <v>150</v>
      </c>
      <c r="C17">
        <v>0</v>
      </c>
      <c r="D17">
        <v>253</v>
      </c>
      <c r="E17">
        <v>229</v>
      </c>
      <c r="F17">
        <v>34</v>
      </c>
      <c r="G17">
        <v>0</v>
      </c>
    </row>
    <row r="18" spans="1:7" x14ac:dyDescent="0.35">
      <c r="A18" t="s">
        <v>124</v>
      </c>
      <c r="B18">
        <v>150</v>
      </c>
      <c r="C18">
        <v>0</v>
      </c>
      <c r="D18">
        <v>254</v>
      </c>
      <c r="E18">
        <v>226</v>
      </c>
      <c r="F18">
        <v>34</v>
      </c>
      <c r="G18">
        <v>0</v>
      </c>
    </row>
    <row r="19" spans="1:7" x14ac:dyDescent="0.35">
      <c r="A19" t="s">
        <v>125</v>
      </c>
      <c r="B19">
        <v>150</v>
      </c>
      <c r="C19">
        <v>0</v>
      </c>
      <c r="D19">
        <v>255</v>
      </c>
      <c r="E19">
        <v>228</v>
      </c>
      <c r="F19">
        <v>50</v>
      </c>
      <c r="G19">
        <v>0</v>
      </c>
    </row>
    <row r="20" spans="1:7" x14ac:dyDescent="0.35">
      <c r="A20" t="s">
        <v>126</v>
      </c>
      <c r="B20">
        <v>150</v>
      </c>
      <c r="C20">
        <v>0</v>
      </c>
      <c r="D20">
        <v>118</v>
      </c>
      <c r="E20">
        <v>131</v>
      </c>
      <c r="F20">
        <v>31</v>
      </c>
      <c r="G20">
        <v>0</v>
      </c>
    </row>
    <row r="21" spans="1:7" x14ac:dyDescent="0.35">
      <c r="A21" t="s">
        <v>127</v>
      </c>
      <c r="B21">
        <v>150</v>
      </c>
      <c r="C21">
        <v>0</v>
      </c>
      <c r="D21">
        <v>156</v>
      </c>
      <c r="E21">
        <v>165</v>
      </c>
      <c r="F21">
        <v>31</v>
      </c>
      <c r="G21">
        <v>0</v>
      </c>
    </row>
    <row r="22" spans="1:7" x14ac:dyDescent="0.35">
      <c r="A22" t="s">
        <v>128</v>
      </c>
      <c r="B22">
        <v>150</v>
      </c>
      <c r="C22">
        <v>0</v>
      </c>
      <c r="D22">
        <v>152</v>
      </c>
      <c r="E22">
        <v>96</v>
      </c>
      <c r="F22">
        <v>0</v>
      </c>
      <c r="G22">
        <v>0</v>
      </c>
    </row>
    <row r="23" spans="1:7" x14ac:dyDescent="0.35">
      <c r="A23" t="s">
        <v>129</v>
      </c>
      <c r="B23">
        <v>150</v>
      </c>
      <c r="C23">
        <v>0</v>
      </c>
      <c r="D23">
        <v>100</v>
      </c>
      <c r="E23">
        <v>35</v>
      </c>
      <c r="F23">
        <v>0</v>
      </c>
      <c r="G23">
        <v>0</v>
      </c>
    </row>
    <row r="24" spans="1:7" x14ac:dyDescent="0.35">
      <c r="A24" t="s">
        <v>130</v>
      </c>
      <c r="B24">
        <v>150</v>
      </c>
      <c r="C24">
        <v>0</v>
      </c>
      <c r="D24">
        <v>100</v>
      </c>
      <c r="E24">
        <v>35</v>
      </c>
      <c r="F24">
        <v>0</v>
      </c>
      <c r="G24">
        <v>0</v>
      </c>
    </row>
    <row r="25" spans="1:7" x14ac:dyDescent="0.35">
      <c r="A25" t="s">
        <v>131</v>
      </c>
      <c r="B25">
        <v>150</v>
      </c>
      <c r="C25">
        <v>0</v>
      </c>
      <c r="D25">
        <v>100</v>
      </c>
      <c r="E25">
        <v>35</v>
      </c>
      <c r="F25">
        <v>0</v>
      </c>
      <c r="G25">
        <v>0</v>
      </c>
    </row>
    <row r="26" spans="1:7" x14ac:dyDescent="0.35">
      <c r="A26" t="s">
        <v>132</v>
      </c>
      <c r="B26">
        <v>0</v>
      </c>
      <c r="C26">
        <v>0</v>
      </c>
      <c r="D26">
        <v>100</v>
      </c>
      <c r="E26">
        <v>35</v>
      </c>
      <c r="F26">
        <v>0</v>
      </c>
      <c r="G26">
        <v>0</v>
      </c>
    </row>
    <row r="27" spans="1:7" x14ac:dyDescent="0.35">
      <c r="A27" t="s">
        <v>133</v>
      </c>
      <c r="B27">
        <v>150</v>
      </c>
      <c r="C27">
        <v>0</v>
      </c>
      <c r="D27">
        <v>100</v>
      </c>
      <c r="E27">
        <v>35</v>
      </c>
      <c r="F27">
        <v>0</v>
      </c>
      <c r="G27">
        <v>0</v>
      </c>
    </row>
    <row r="28" spans="1:7" x14ac:dyDescent="0.35">
      <c r="A28" t="s">
        <v>134</v>
      </c>
      <c r="B28">
        <v>150</v>
      </c>
      <c r="C28">
        <v>0</v>
      </c>
      <c r="D28">
        <v>100</v>
      </c>
      <c r="E28">
        <v>35</v>
      </c>
      <c r="F28">
        <v>0</v>
      </c>
      <c r="G28">
        <v>0</v>
      </c>
    </row>
    <row r="29" spans="1:7" x14ac:dyDescent="0.35">
      <c r="A29" t="s">
        <v>135</v>
      </c>
      <c r="B29">
        <v>150</v>
      </c>
      <c r="C29">
        <v>0</v>
      </c>
      <c r="D29">
        <v>100</v>
      </c>
      <c r="E29">
        <v>35</v>
      </c>
      <c r="F29">
        <v>0</v>
      </c>
      <c r="G29">
        <v>0</v>
      </c>
    </row>
    <row r="30" spans="1:7" x14ac:dyDescent="0.35">
      <c r="A30" t="s">
        <v>136</v>
      </c>
      <c r="B30">
        <v>150</v>
      </c>
      <c r="C30">
        <v>0</v>
      </c>
      <c r="D30">
        <v>172</v>
      </c>
      <c r="E30">
        <v>35</v>
      </c>
      <c r="F30">
        <v>0</v>
      </c>
      <c r="G30">
        <v>0</v>
      </c>
    </row>
    <row r="31" spans="1:7" x14ac:dyDescent="0.35">
      <c r="A31" t="s">
        <v>137</v>
      </c>
      <c r="B31">
        <v>150</v>
      </c>
      <c r="C31">
        <v>0</v>
      </c>
      <c r="D31">
        <v>172</v>
      </c>
      <c r="E31">
        <v>35</v>
      </c>
      <c r="F31">
        <v>0</v>
      </c>
      <c r="G31">
        <v>0</v>
      </c>
    </row>
    <row r="32" spans="1:7" x14ac:dyDescent="0.35">
      <c r="A32" t="s">
        <v>138</v>
      </c>
      <c r="B32">
        <v>150</v>
      </c>
      <c r="C32">
        <v>0</v>
      </c>
      <c r="D32">
        <v>172</v>
      </c>
      <c r="E32">
        <v>35</v>
      </c>
      <c r="F32">
        <v>0</v>
      </c>
      <c r="G32">
        <v>0</v>
      </c>
    </row>
    <row r="33" spans="1:7" x14ac:dyDescent="0.35">
      <c r="A33" t="s">
        <v>139</v>
      </c>
      <c r="B33">
        <v>150</v>
      </c>
      <c r="C33">
        <v>0</v>
      </c>
      <c r="D33">
        <v>172</v>
      </c>
      <c r="E33">
        <v>35</v>
      </c>
      <c r="F33">
        <v>0</v>
      </c>
      <c r="G33">
        <v>0</v>
      </c>
    </row>
    <row r="34" spans="1:7" x14ac:dyDescent="0.35">
      <c r="A34" t="s">
        <v>140</v>
      </c>
      <c r="B34">
        <v>150</v>
      </c>
      <c r="C34">
        <v>0</v>
      </c>
      <c r="D34">
        <v>172</v>
      </c>
      <c r="E34">
        <v>35</v>
      </c>
      <c r="F34">
        <v>0</v>
      </c>
      <c r="G34">
        <v>0</v>
      </c>
    </row>
    <row r="35" spans="1:7" x14ac:dyDescent="0.35">
      <c r="A35" t="s">
        <v>141</v>
      </c>
      <c r="B35">
        <v>150</v>
      </c>
      <c r="C35">
        <v>0</v>
      </c>
      <c r="D35">
        <v>144</v>
      </c>
      <c r="E35">
        <v>0</v>
      </c>
      <c r="F35">
        <v>0</v>
      </c>
      <c r="G35">
        <v>0</v>
      </c>
    </row>
    <row r="36" spans="1:7" x14ac:dyDescent="0.35">
      <c r="A36" t="s">
        <v>142</v>
      </c>
      <c r="B36">
        <v>150</v>
      </c>
      <c r="C36">
        <v>0</v>
      </c>
      <c r="D36">
        <v>0</v>
      </c>
      <c r="E36">
        <v>0</v>
      </c>
      <c r="F36">
        <v>0</v>
      </c>
      <c r="G36">
        <v>0</v>
      </c>
    </row>
    <row r="37" spans="1:7" x14ac:dyDescent="0.35">
      <c r="A37" t="s">
        <v>143</v>
      </c>
      <c r="B37">
        <v>150</v>
      </c>
      <c r="C37">
        <v>0</v>
      </c>
      <c r="D37">
        <v>0</v>
      </c>
      <c r="E37">
        <v>0</v>
      </c>
      <c r="F37">
        <v>0</v>
      </c>
      <c r="G37">
        <v>0</v>
      </c>
    </row>
    <row r="38" spans="1:7" x14ac:dyDescent="0.35">
      <c r="A38" t="s">
        <v>144</v>
      </c>
      <c r="B38">
        <v>150</v>
      </c>
      <c r="C38">
        <v>0</v>
      </c>
      <c r="D38">
        <v>0</v>
      </c>
      <c r="E38">
        <v>0</v>
      </c>
      <c r="F38">
        <v>0</v>
      </c>
      <c r="G38">
        <v>0</v>
      </c>
    </row>
    <row r="39" spans="1:7" x14ac:dyDescent="0.35">
      <c r="A39" t="s">
        <v>145</v>
      </c>
      <c r="B39">
        <v>150</v>
      </c>
      <c r="C39">
        <v>0</v>
      </c>
      <c r="D39">
        <v>0</v>
      </c>
      <c r="E39">
        <v>0</v>
      </c>
      <c r="F39">
        <v>0</v>
      </c>
      <c r="G39">
        <v>0</v>
      </c>
    </row>
    <row r="40" spans="1:7" x14ac:dyDescent="0.35">
      <c r="A40" t="s">
        <v>146</v>
      </c>
      <c r="B40">
        <v>150</v>
      </c>
      <c r="C40">
        <v>0</v>
      </c>
      <c r="D40">
        <v>0</v>
      </c>
      <c r="E40">
        <v>0</v>
      </c>
      <c r="F40">
        <v>0</v>
      </c>
      <c r="G40">
        <v>0</v>
      </c>
    </row>
    <row r="41" spans="1:7" x14ac:dyDescent="0.35">
      <c r="A41" t="s">
        <v>147</v>
      </c>
      <c r="B41">
        <v>0</v>
      </c>
      <c r="C41">
        <v>0</v>
      </c>
      <c r="D41">
        <v>0</v>
      </c>
      <c r="E41">
        <v>0</v>
      </c>
      <c r="F41">
        <v>0</v>
      </c>
      <c r="G41">
        <v>0</v>
      </c>
    </row>
    <row r="42" spans="1:7" x14ac:dyDescent="0.35">
      <c r="A42" t="s">
        <v>148</v>
      </c>
      <c r="B42">
        <v>0</v>
      </c>
      <c r="C42">
        <v>0</v>
      </c>
      <c r="D42">
        <v>0</v>
      </c>
      <c r="E42">
        <v>0</v>
      </c>
      <c r="F42">
        <v>0</v>
      </c>
      <c r="G42">
        <v>0</v>
      </c>
    </row>
    <row r="43" spans="1:7" x14ac:dyDescent="0.35">
      <c r="A43" t="s">
        <v>149</v>
      </c>
      <c r="B43">
        <v>0</v>
      </c>
      <c r="C43">
        <v>0</v>
      </c>
      <c r="D43">
        <v>0</v>
      </c>
      <c r="E43">
        <v>0</v>
      </c>
      <c r="F43">
        <v>0</v>
      </c>
      <c r="G43">
        <v>0</v>
      </c>
    </row>
    <row r="44" spans="1:7" x14ac:dyDescent="0.35">
      <c r="A44" t="s">
        <v>150</v>
      </c>
      <c r="B44">
        <v>0</v>
      </c>
      <c r="C44">
        <v>0</v>
      </c>
      <c r="D44">
        <v>0</v>
      </c>
      <c r="E44">
        <v>0</v>
      </c>
      <c r="F44">
        <v>0</v>
      </c>
      <c r="G44">
        <v>0</v>
      </c>
    </row>
    <row r="45" spans="1:7" x14ac:dyDescent="0.35">
      <c r="A45" t="s">
        <v>151</v>
      </c>
      <c r="B45">
        <v>0</v>
      </c>
      <c r="C45">
        <v>0</v>
      </c>
      <c r="D45">
        <v>0</v>
      </c>
      <c r="E45">
        <v>0</v>
      </c>
      <c r="F45">
        <v>0</v>
      </c>
      <c r="G45">
        <v>0</v>
      </c>
    </row>
    <row r="46" spans="1:7" x14ac:dyDescent="0.35">
      <c r="A46" t="s">
        <v>152</v>
      </c>
      <c r="B46">
        <v>0</v>
      </c>
      <c r="C46">
        <v>0</v>
      </c>
      <c r="D46">
        <v>0</v>
      </c>
      <c r="E46">
        <v>0</v>
      </c>
      <c r="F46">
        <v>0</v>
      </c>
      <c r="G46">
        <v>0</v>
      </c>
    </row>
    <row r="47" spans="1:7" x14ac:dyDescent="0.35">
      <c r="A47" t="s">
        <v>153</v>
      </c>
      <c r="B47">
        <v>0</v>
      </c>
      <c r="C47">
        <v>0</v>
      </c>
      <c r="D47">
        <v>0</v>
      </c>
      <c r="E47">
        <v>0</v>
      </c>
      <c r="F47">
        <v>0</v>
      </c>
      <c r="G47">
        <v>0</v>
      </c>
    </row>
    <row r="48" spans="1:7" x14ac:dyDescent="0.35">
      <c r="A48" t="s">
        <v>154</v>
      </c>
      <c r="B48">
        <v>0</v>
      </c>
      <c r="C48">
        <v>0</v>
      </c>
      <c r="D48">
        <v>0</v>
      </c>
      <c r="E48">
        <v>0</v>
      </c>
      <c r="F48">
        <v>0</v>
      </c>
      <c r="G48">
        <v>0</v>
      </c>
    </row>
    <row r="49" spans="1:7" x14ac:dyDescent="0.35">
      <c r="A49" t="s">
        <v>155</v>
      </c>
      <c r="B49">
        <v>0</v>
      </c>
      <c r="C49">
        <v>0</v>
      </c>
      <c r="D49">
        <v>0</v>
      </c>
      <c r="E49">
        <v>0</v>
      </c>
      <c r="F49">
        <v>0</v>
      </c>
      <c r="G49">
        <v>0</v>
      </c>
    </row>
    <row r="50" spans="1:7" x14ac:dyDescent="0.35">
      <c r="A50" t="s">
        <v>156</v>
      </c>
      <c r="B50">
        <v>0</v>
      </c>
      <c r="C50">
        <v>0</v>
      </c>
      <c r="D50">
        <v>0</v>
      </c>
      <c r="E50">
        <v>0</v>
      </c>
      <c r="F50">
        <v>0</v>
      </c>
      <c r="G50">
        <v>0</v>
      </c>
    </row>
    <row r="51" spans="1:7" x14ac:dyDescent="0.35">
      <c r="A51" t="s">
        <v>157</v>
      </c>
      <c r="B51">
        <v>0</v>
      </c>
      <c r="C51">
        <v>0</v>
      </c>
      <c r="D51">
        <v>0</v>
      </c>
      <c r="E51">
        <v>0</v>
      </c>
      <c r="F51">
        <v>0</v>
      </c>
      <c r="G51">
        <v>0</v>
      </c>
    </row>
    <row r="52" spans="1:7" x14ac:dyDescent="0.35">
      <c r="A52" t="s">
        <v>158</v>
      </c>
      <c r="B52">
        <v>0</v>
      </c>
      <c r="C52">
        <v>0</v>
      </c>
      <c r="D52">
        <v>0</v>
      </c>
      <c r="E52">
        <v>0</v>
      </c>
      <c r="F52">
        <v>0</v>
      </c>
      <c r="G52">
        <v>0</v>
      </c>
    </row>
    <row r="53" spans="1:7" x14ac:dyDescent="0.35">
      <c r="A53" t="s">
        <v>159</v>
      </c>
      <c r="B53">
        <v>0</v>
      </c>
      <c r="C53">
        <v>0</v>
      </c>
      <c r="D53">
        <v>0</v>
      </c>
      <c r="E53">
        <v>0</v>
      </c>
      <c r="F53">
        <v>0</v>
      </c>
      <c r="G53">
        <v>0</v>
      </c>
    </row>
    <row r="54" spans="1:7" x14ac:dyDescent="0.35">
      <c r="A54" t="s">
        <v>160</v>
      </c>
      <c r="B54">
        <v>0</v>
      </c>
      <c r="C54">
        <v>0</v>
      </c>
      <c r="D54">
        <v>0</v>
      </c>
      <c r="E54">
        <v>0</v>
      </c>
      <c r="F54">
        <v>0</v>
      </c>
      <c r="G54">
        <v>0</v>
      </c>
    </row>
    <row r="55" spans="1:7" x14ac:dyDescent="0.35">
      <c r="A55" t="s">
        <v>161</v>
      </c>
      <c r="B55">
        <v>0</v>
      </c>
      <c r="C55">
        <v>0</v>
      </c>
      <c r="D55">
        <v>0</v>
      </c>
      <c r="E55">
        <v>0</v>
      </c>
      <c r="F55">
        <v>0</v>
      </c>
      <c r="G55">
        <v>0</v>
      </c>
    </row>
    <row r="56" spans="1:7" x14ac:dyDescent="0.35">
      <c r="A56" t="s">
        <v>162</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G12" sqref="G12:G13"/>
    </sheetView>
  </sheetViews>
  <sheetFormatPr defaultRowHeight="14.5" x14ac:dyDescent="0.35"/>
  <cols>
    <col min="1" max="2" width="8.7265625" style="242"/>
    <col min="3" max="3" width="6.26953125" style="242" bestFit="1" customWidth="1"/>
    <col min="4" max="4" width="9.36328125" style="242" bestFit="1" customWidth="1"/>
    <col min="5" max="5" width="17.453125" style="242" bestFit="1" customWidth="1"/>
    <col min="6" max="6" width="7.36328125" style="242" customWidth="1"/>
    <col min="7" max="7" width="24" style="242" bestFit="1" customWidth="1"/>
    <col min="8" max="8" width="9.90625" style="248" bestFit="1" customWidth="1"/>
  </cols>
  <sheetData>
    <row r="1" spans="1:8" ht="15" thickBot="1" x14ac:dyDescent="0.4">
      <c r="A1" s="253" t="s">
        <v>26</v>
      </c>
      <c r="B1" s="254" t="s">
        <v>70</v>
      </c>
      <c r="C1" s="254" t="s">
        <v>173</v>
      </c>
      <c r="D1" s="254" t="s">
        <v>53</v>
      </c>
      <c r="E1" s="254" t="s">
        <v>36</v>
      </c>
      <c r="F1" s="254" t="s">
        <v>42</v>
      </c>
      <c r="G1" s="254" t="s">
        <v>67</v>
      </c>
      <c r="H1" s="10" t="s">
        <v>96</v>
      </c>
    </row>
    <row r="2" spans="1:8" x14ac:dyDescent="0.35">
      <c r="A2" s="228">
        <v>1</v>
      </c>
      <c r="B2" s="250" t="s">
        <v>69</v>
      </c>
      <c r="C2" s="251" t="s">
        <v>174</v>
      </c>
      <c r="D2" s="250" t="s">
        <v>2</v>
      </c>
      <c r="E2" s="250" t="s">
        <v>37</v>
      </c>
      <c r="F2" s="250" t="s">
        <v>43</v>
      </c>
      <c r="G2" s="252" t="s">
        <v>15</v>
      </c>
      <c r="H2" s="36" t="s">
        <v>25</v>
      </c>
    </row>
    <row r="3" spans="1:8" x14ac:dyDescent="0.35">
      <c r="A3" s="31">
        <v>2</v>
      </c>
      <c r="B3" s="33" t="s">
        <v>71</v>
      </c>
      <c r="C3" s="34" t="s">
        <v>175</v>
      </c>
      <c r="D3" s="33" t="s">
        <v>0</v>
      </c>
      <c r="E3" s="33" t="s">
        <v>44</v>
      </c>
      <c r="F3" s="33" t="s">
        <v>45</v>
      </c>
      <c r="G3" s="247" t="s">
        <v>14</v>
      </c>
      <c r="H3" s="32" t="s">
        <v>24</v>
      </c>
    </row>
    <row r="4" spans="1:8" x14ac:dyDescent="0.35">
      <c r="A4" s="31">
        <v>3</v>
      </c>
      <c r="B4" s="33" t="s">
        <v>72</v>
      </c>
      <c r="C4" s="34" t="s">
        <v>176</v>
      </c>
      <c r="D4" s="33" t="s">
        <v>3</v>
      </c>
      <c r="E4" s="33"/>
      <c r="F4" s="33" t="s">
        <v>39</v>
      </c>
      <c r="G4" s="247" t="s">
        <v>19</v>
      </c>
      <c r="H4" s="32" t="s">
        <v>97</v>
      </c>
    </row>
    <row r="5" spans="1:8" x14ac:dyDescent="0.35">
      <c r="A5" s="31">
        <v>4</v>
      </c>
      <c r="B5" s="33" t="s">
        <v>75</v>
      </c>
      <c r="C5" s="34" t="s">
        <v>177</v>
      </c>
      <c r="D5" s="33"/>
      <c r="E5" s="33"/>
      <c r="F5" s="33" t="s">
        <v>46</v>
      </c>
      <c r="G5" s="247" t="s">
        <v>178</v>
      </c>
      <c r="H5" s="32"/>
    </row>
    <row r="6" spans="1:8" x14ac:dyDescent="0.35">
      <c r="A6" s="31"/>
      <c r="B6" s="33" t="s">
        <v>73</v>
      </c>
      <c r="C6" s="34" t="s">
        <v>179</v>
      </c>
      <c r="D6" s="33"/>
      <c r="E6" s="33"/>
      <c r="F6" s="33" t="s">
        <v>47</v>
      </c>
      <c r="G6" s="247" t="s">
        <v>180</v>
      </c>
      <c r="H6" s="32"/>
    </row>
    <row r="7" spans="1:8" x14ac:dyDescent="0.35">
      <c r="A7" s="31"/>
      <c r="B7" s="33" t="s">
        <v>74</v>
      </c>
      <c r="C7" s="34" t="s">
        <v>182</v>
      </c>
      <c r="D7" s="33"/>
      <c r="E7" s="33"/>
      <c r="F7" s="33" t="s">
        <v>48</v>
      </c>
      <c r="G7" s="247" t="s">
        <v>17</v>
      </c>
      <c r="H7" s="32"/>
    </row>
    <row r="8" spans="1:8" ht="15" customHeight="1" x14ac:dyDescent="0.35">
      <c r="A8" s="31"/>
      <c r="B8" s="33" t="s">
        <v>1</v>
      </c>
      <c r="C8" s="34" t="s">
        <v>183</v>
      </c>
      <c r="D8" s="33"/>
      <c r="E8" s="33"/>
      <c r="F8" s="33" t="s">
        <v>49</v>
      </c>
      <c r="G8" s="247" t="s">
        <v>184</v>
      </c>
      <c r="H8" s="32"/>
    </row>
    <row r="9" spans="1:8" x14ac:dyDescent="0.35">
      <c r="A9" s="31"/>
      <c r="B9" s="33" t="s">
        <v>77</v>
      </c>
      <c r="C9" s="34" t="s">
        <v>185</v>
      </c>
      <c r="D9" s="33"/>
      <c r="E9" s="33"/>
      <c r="F9" s="33" t="s">
        <v>50</v>
      </c>
      <c r="G9" s="247" t="s">
        <v>186</v>
      </c>
      <c r="H9" s="32"/>
    </row>
    <row r="10" spans="1:8" x14ac:dyDescent="0.35">
      <c r="A10" s="31"/>
      <c r="B10" s="33" t="s">
        <v>181</v>
      </c>
      <c r="C10" s="34" t="s">
        <v>187</v>
      </c>
      <c r="D10" s="33"/>
      <c r="E10" s="33"/>
      <c r="F10" s="33"/>
      <c r="G10" s="247" t="s">
        <v>188</v>
      </c>
      <c r="H10" s="32"/>
    </row>
    <row r="11" spans="1:8" x14ac:dyDescent="0.35">
      <c r="A11" s="31"/>
      <c r="B11" s="33" t="s">
        <v>4</v>
      </c>
      <c r="C11" s="34" t="s">
        <v>189</v>
      </c>
      <c r="D11" s="33"/>
      <c r="E11" s="33"/>
      <c r="F11" s="33"/>
      <c r="G11" s="247" t="s">
        <v>190</v>
      </c>
      <c r="H11" s="32"/>
    </row>
    <row r="12" spans="1:8" ht="15" customHeight="1" x14ac:dyDescent="0.35">
      <c r="A12" s="31"/>
      <c r="B12" s="33"/>
      <c r="C12" s="34" t="s">
        <v>191</v>
      </c>
      <c r="D12" s="33"/>
      <c r="E12" s="33"/>
      <c r="F12" s="33"/>
      <c r="G12" s="247" t="s">
        <v>192</v>
      </c>
      <c r="H12" s="32"/>
    </row>
    <row r="13" spans="1:8" x14ac:dyDescent="0.35">
      <c r="A13" s="31"/>
      <c r="B13" s="33"/>
      <c r="C13" s="34" t="s">
        <v>193</v>
      </c>
      <c r="D13" s="33"/>
      <c r="E13" s="33"/>
      <c r="F13" s="33"/>
      <c r="G13" s="247" t="s">
        <v>194</v>
      </c>
      <c r="H13" s="32"/>
    </row>
    <row r="14" spans="1:8" x14ac:dyDescent="0.35">
      <c r="A14" s="31"/>
      <c r="B14" s="33"/>
      <c r="C14" s="33">
        <v>1</v>
      </c>
      <c r="D14" s="33"/>
      <c r="E14" s="33"/>
      <c r="F14" s="33"/>
      <c r="G14" s="247" t="s">
        <v>195</v>
      </c>
      <c r="H14" s="11"/>
    </row>
    <row r="15" spans="1:8" x14ac:dyDescent="0.35">
      <c r="A15" s="31"/>
      <c r="B15" s="33"/>
      <c r="C15" s="33">
        <v>2</v>
      </c>
      <c r="D15" s="33"/>
      <c r="E15" s="33"/>
      <c r="F15" s="33"/>
      <c r="G15" s="247" t="s">
        <v>196</v>
      </c>
      <c r="H15" s="32"/>
    </row>
    <row r="16" spans="1:8" x14ac:dyDescent="0.35">
      <c r="A16" s="31"/>
      <c r="B16" s="33"/>
      <c r="C16" s="33">
        <v>3</v>
      </c>
      <c r="D16" s="33"/>
      <c r="E16" s="33"/>
      <c r="F16" s="33"/>
      <c r="G16" s="247" t="s">
        <v>197</v>
      </c>
      <c r="H16" s="11"/>
    </row>
    <row r="17" spans="1:8" x14ac:dyDescent="0.35">
      <c r="A17" s="31"/>
      <c r="B17" s="33"/>
      <c r="C17" s="33"/>
      <c r="D17" s="33"/>
      <c r="E17" s="33"/>
      <c r="F17" s="33"/>
      <c r="G17" s="247" t="s">
        <v>20</v>
      </c>
      <c r="H17" s="11"/>
    </row>
    <row r="18" spans="1:8" x14ac:dyDescent="0.35">
      <c r="A18" s="31"/>
      <c r="B18" s="33"/>
      <c r="C18" s="33"/>
      <c r="D18" s="33"/>
      <c r="E18" s="33"/>
      <c r="F18" s="33"/>
      <c r="G18" s="247" t="s">
        <v>198</v>
      </c>
      <c r="H18" s="11"/>
    </row>
    <row r="19" spans="1:8" x14ac:dyDescent="0.35">
      <c r="A19" s="31"/>
      <c r="B19" s="33"/>
      <c r="C19" s="33"/>
      <c r="D19" s="33"/>
      <c r="E19" s="33"/>
      <c r="F19" s="33"/>
      <c r="G19" s="247" t="s">
        <v>199</v>
      </c>
      <c r="H19" s="11"/>
    </row>
    <row r="20" spans="1:8" x14ac:dyDescent="0.35">
      <c r="A20" s="31"/>
      <c r="B20" s="33"/>
      <c r="C20" s="33"/>
      <c r="D20" s="33"/>
      <c r="E20" s="33"/>
      <c r="F20" s="33"/>
      <c r="G20" s="247" t="s">
        <v>200</v>
      </c>
      <c r="H20" s="11"/>
    </row>
    <row r="21" spans="1:8" x14ac:dyDescent="0.35">
      <c r="A21" s="31"/>
      <c r="B21" s="33"/>
      <c r="C21" s="33"/>
      <c r="D21" s="33"/>
      <c r="E21" s="33"/>
      <c r="F21" s="33"/>
      <c r="G21" s="247" t="s">
        <v>201</v>
      </c>
      <c r="H21" s="11"/>
    </row>
    <row r="22" spans="1:8" x14ac:dyDescent="0.35">
      <c r="A22" s="31"/>
      <c r="B22" s="33"/>
      <c r="C22" s="33"/>
      <c r="D22" s="33"/>
      <c r="E22" s="33"/>
      <c r="F22" s="33"/>
      <c r="G22" s="247" t="s">
        <v>202</v>
      </c>
      <c r="H22" s="11"/>
    </row>
    <row r="23" spans="1:8" x14ac:dyDescent="0.35">
      <c r="A23" s="31"/>
      <c r="B23" s="33"/>
      <c r="C23" s="33"/>
      <c r="D23" s="33"/>
      <c r="E23" s="33"/>
      <c r="F23" s="33"/>
      <c r="G23" s="247" t="s">
        <v>203</v>
      </c>
      <c r="H23" s="11"/>
    </row>
    <row r="24" spans="1:8" x14ac:dyDescent="0.35">
      <c r="A24" s="31"/>
      <c r="B24" s="33"/>
      <c r="C24" s="33"/>
      <c r="D24" s="33"/>
      <c r="E24" s="33"/>
      <c r="F24" s="33"/>
      <c r="G24" s="247" t="s">
        <v>204</v>
      </c>
      <c r="H24" s="11"/>
    </row>
    <row r="25" spans="1:8" x14ac:dyDescent="0.35">
      <c r="A25" s="31"/>
      <c r="B25" s="33"/>
      <c r="C25" s="33"/>
      <c r="D25" s="33"/>
      <c r="E25" s="33"/>
      <c r="F25" s="33"/>
      <c r="G25" s="247" t="s">
        <v>205</v>
      </c>
      <c r="H25" s="11"/>
    </row>
    <row r="26" spans="1:8" x14ac:dyDescent="0.35">
      <c r="A26" s="31"/>
      <c r="B26" s="33"/>
      <c r="C26" s="33"/>
      <c r="D26" s="33"/>
      <c r="E26" s="33"/>
      <c r="F26" s="33"/>
      <c r="G26" s="247" t="s">
        <v>16</v>
      </c>
      <c r="H26" s="11"/>
    </row>
    <row r="27" spans="1:8" x14ac:dyDescent="0.35">
      <c r="A27" s="31"/>
      <c r="B27" s="33"/>
      <c r="C27" s="33"/>
      <c r="D27" s="33"/>
      <c r="E27" s="33"/>
      <c r="F27" s="33"/>
      <c r="G27" s="247" t="s">
        <v>206</v>
      </c>
      <c r="H27" s="11"/>
    </row>
    <row r="28" spans="1:8" x14ac:dyDescent="0.35">
      <c r="A28" s="31"/>
      <c r="B28" s="33"/>
      <c r="C28" s="33"/>
      <c r="D28" s="33"/>
      <c r="E28" s="33"/>
      <c r="F28" s="33"/>
      <c r="G28" s="247" t="s">
        <v>18</v>
      </c>
      <c r="H28" s="11"/>
    </row>
    <row r="29" spans="1:8" x14ac:dyDescent="0.35">
      <c r="A29" s="31"/>
      <c r="B29" s="33"/>
      <c r="C29" s="33"/>
      <c r="D29" s="33"/>
      <c r="E29" s="33"/>
      <c r="F29" s="33"/>
      <c r="G29" s="247" t="s">
        <v>207</v>
      </c>
      <c r="H29" s="11"/>
    </row>
    <row r="30" spans="1:8" x14ac:dyDescent="0.35">
      <c r="A30" s="31"/>
      <c r="B30" s="33"/>
      <c r="C30" s="33"/>
      <c r="D30" s="33"/>
      <c r="E30" s="33"/>
      <c r="F30" s="33"/>
      <c r="G30" s="247" t="s">
        <v>208</v>
      </c>
      <c r="H30" s="11"/>
    </row>
    <row r="31" spans="1:8" x14ac:dyDescent="0.35">
      <c r="A31" s="31"/>
      <c r="B31" s="33"/>
      <c r="C31" s="33"/>
      <c r="D31" s="33"/>
      <c r="E31" s="33"/>
      <c r="F31" s="33"/>
      <c r="G31" s="247" t="s">
        <v>209</v>
      </c>
      <c r="H31" s="11"/>
    </row>
    <row r="32" spans="1:8" x14ac:dyDescent="0.35">
      <c r="A32" s="31"/>
      <c r="B32" s="33"/>
      <c r="C32" s="33"/>
      <c r="D32" s="33"/>
      <c r="E32" s="33"/>
      <c r="F32" s="33"/>
      <c r="G32" s="247" t="s">
        <v>210</v>
      </c>
      <c r="H32" s="11"/>
    </row>
    <row r="33" spans="1:8" x14ac:dyDescent="0.35">
      <c r="A33" s="31"/>
      <c r="B33" s="33"/>
      <c r="C33" s="33"/>
      <c r="D33" s="33"/>
      <c r="E33" s="33"/>
      <c r="F33" s="33"/>
      <c r="G33" s="247" t="s">
        <v>211</v>
      </c>
      <c r="H33" s="11"/>
    </row>
    <row r="34" spans="1:8" x14ac:dyDescent="0.35">
      <c r="A34" s="31"/>
      <c r="B34" s="33"/>
      <c r="C34" s="33"/>
      <c r="D34" s="33"/>
      <c r="E34" s="33"/>
      <c r="F34" s="33"/>
      <c r="G34" s="247" t="s">
        <v>212</v>
      </c>
      <c r="H34" s="11"/>
    </row>
    <row r="35" spans="1:8" x14ac:dyDescent="0.35">
      <c r="A35" s="31"/>
      <c r="B35" s="33"/>
      <c r="C35" s="33"/>
      <c r="D35" s="33"/>
      <c r="E35" s="33"/>
      <c r="F35" s="33"/>
      <c r="G35" s="247" t="s">
        <v>213</v>
      </c>
      <c r="H35" s="11"/>
    </row>
    <row r="36" spans="1:8" x14ac:dyDescent="0.35">
      <c r="A36" s="31"/>
      <c r="B36" s="33"/>
      <c r="C36" s="33"/>
      <c r="D36" s="33"/>
      <c r="E36" s="33"/>
      <c r="F36" s="33"/>
      <c r="G36" s="247" t="s">
        <v>214</v>
      </c>
      <c r="H36" s="11"/>
    </row>
    <row r="37" spans="1:8" x14ac:dyDescent="0.35">
      <c r="A37" s="31"/>
      <c r="B37" s="33"/>
      <c r="C37" s="33"/>
      <c r="D37" s="33"/>
      <c r="E37" s="33"/>
      <c r="F37" s="33"/>
      <c r="G37" s="247" t="s">
        <v>215</v>
      </c>
      <c r="H37" s="11"/>
    </row>
    <row r="38" spans="1:8" x14ac:dyDescent="0.35">
      <c r="A38" s="31"/>
      <c r="B38" s="33"/>
      <c r="C38" s="33"/>
      <c r="D38" s="33"/>
      <c r="E38" s="33"/>
      <c r="F38" s="33"/>
      <c r="G38" s="247" t="s">
        <v>216</v>
      </c>
      <c r="H38" s="11"/>
    </row>
    <row r="39" spans="1:8" x14ac:dyDescent="0.35">
      <c r="A39" s="31"/>
      <c r="B39" s="33"/>
      <c r="C39" s="33"/>
      <c r="D39" s="33"/>
      <c r="E39" s="33"/>
      <c r="F39" s="33"/>
      <c r="G39" s="247" t="s">
        <v>217</v>
      </c>
      <c r="H39" s="11"/>
    </row>
    <row r="40" spans="1:8" x14ac:dyDescent="0.35">
      <c r="A40" s="31"/>
      <c r="B40" s="33"/>
      <c r="C40" s="33"/>
      <c r="D40" s="33"/>
      <c r="E40" s="33"/>
      <c r="F40" s="33"/>
      <c r="G40" s="247" t="s">
        <v>218</v>
      </c>
      <c r="H40" s="11"/>
    </row>
    <row r="41" spans="1:8" x14ac:dyDescent="0.35">
      <c r="A41" s="31"/>
      <c r="B41" s="33"/>
      <c r="C41" s="33"/>
      <c r="D41" s="33"/>
      <c r="E41" s="33"/>
      <c r="F41" s="33"/>
      <c r="G41" s="247" t="s">
        <v>219</v>
      </c>
      <c r="H41" s="11"/>
    </row>
    <row r="42" spans="1:8" x14ac:dyDescent="0.35">
      <c r="A42" s="31"/>
      <c r="B42" s="33"/>
      <c r="C42" s="33"/>
      <c r="D42" s="33"/>
      <c r="E42" s="33"/>
      <c r="F42" s="33"/>
      <c r="G42" s="247" t="s">
        <v>220</v>
      </c>
      <c r="H42" s="11"/>
    </row>
    <row r="43" spans="1:8" x14ac:dyDescent="0.35">
      <c r="A43" s="31"/>
      <c r="B43" s="33"/>
      <c r="C43" s="33"/>
      <c r="D43" s="33"/>
      <c r="E43" s="33"/>
      <c r="F43" s="33"/>
      <c r="G43" s="247" t="s">
        <v>221</v>
      </c>
      <c r="H43" s="11"/>
    </row>
    <row r="44" spans="1:8" x14ac:dyDescent="0.35">
      <c r="A44" s="31"/>
      <c r="B44" s="33"/>
      <c r="C44" s="33"/>
      <c r="D44" s="33"/>
      <c r="E44" s="33"/>
      <c r="F44" s="33"/>
      <c r="G44" s="247" t="s">
        <v>222</v>
      </c>
      <c r="H44" s="11"/>
    </row>
    <row r="45" spans="1:8" x14ac:dyDescent="0.35">
      <c r="A45" s="31"/>
      <c r="B45" s="33"/>
      <c r="C45" s="33"/>
      <c r="D45" s="33"/>
      <c r="E45" s="33"/>
      <c r="F45" s="33"/>
      <c r="G45" s="247" t="s">
        <v>223</v>
      </c>
      <c r="H45" s="11"/>
    </row>
    <row r="46" spans="1:8" x14ac:dyDescent="0.35">
      <c r="A46" s="31"/>
      <c r="B46" s="33"/>
      <c r="C46" s="33"/>
      <c r="D46" s="33"/>
      <c r="E46" s="33"/>
      <c r="F46" s="33"/>
      <c r="G46" s="247" t="s">
        <v>224</v>
      </c>
      <c r="H46" s="11"/>
    </row>
    <row r="47" spans="1:8" x14ac:dyDescent="0.35">
      <c r="A47" s="31"/>
      <c r="B47" s="33"/>
      <c r="C47" s="33"/>
      <c r="D47" s="33"/>
      <c r="E47" s="33"/>
      <c r="F47" s="33"/>
      <c r="G47" s="247" t="s">
        <v>225</v>
      </c>
      <c r="H47" s="11"/>
    </row>
    <row r="48" spans="1:8" x14ac:dyDescent="0.35">
      <c r="A48" s="31"/>
      <c r="B48" s="33"/>
      <c r="C48" s="33"/>
      <c r="D48" s="33"/>
      <c r="E48" s="33"/>
      <c r="F48" s="33"/>
      <c r="G48" s="247" t="s">
        <v>21</v>
      </c>
      <c r="H48" s="11"/>
    </row>
    <row r="49" spans="1:8" x14ac:dyDescent="0.35">
      <c r="A49" s="31"/>
      <c r="B49" s="33"/>
      <c r="C49" s="33"/>
      <c r="D49" s="33"/>
      <c r="E49" s="33"/>
      <c r="F49" s="33"/>
      <c r="G49" s="247" t="s">
        <v>226</v>
      </c>
      <c r="H49" s="11"/>
    </row>
    <row r="50" spans="1:8" x14ac:dyDescent="0.35">
      <c r="A50" s="31"/>
      <c r="B50" s="33"/>
      <c r="C50" s="33"/>
      <c r="D50" s="33"/>
      <c r="E50" s="33"/>
      <c r="F50" s="33"/>
      <c r="G50" s="247" t="s">
        <v>227</v>
      </c>
      <c r="H50" s="11"/>
    </row>
    <row r="51" spans="1:8" x14ac:dyDescent="0.35">
      <c r="A51" s="31"/>
      <c r="B51" s="33"/>
      <c r="C51" s="33"/>
      <c r="D51" s="33"/>
      <c r="E51" s="33"/>
      <c r="F51" s="33"/>
      <c r="G51" s="247" t="s">
        <v>228</v>
      </c>
      <c r="H51" s="11"/>
    </row>
    <row r="52" spans="1:8" x14ac:dyDescent="0.35">
      <c r="A52" s="31"/>
      <c r="B52" s="33"/>
      <c r="C52" s="33"/>
      <c r="D52" s="33"/>
      <c r="E52" s="33"/>
      <c r="F52" s="33"/>
      <c r="G52" s="247" t="s">
        <v>229</v>
      </c>
      <c r="H52" s="11"/>
    </row>
    <row r="53" spans="1:8" x14ac:dyDescent="0.35">
      <c r="A53" s="31"/>
      <c r="B53" s="33"/>
      <c r="C53" s="33"/>
      <c r="D53" s="33"/>
      <c r="E53" s="33"/>
      <c r="F53" s="33"/>
      <c r="G53" s="247" t="s">
        <v>230</v>
      </c>
      <c r="H53" s="11"/>
    </row>
    <row r="54" spans="1:8" x14ac:dyDescent="0.35">
      <c r="A54" s="31"/>
      <c r="B54" s="33"/>
      <c r="C54" s="33"/>
      <c r="D54" s="33"/>
      <c r="E54" s="33"/>
      <c r="F54" s="33"/>
      <c r="G54" s="247" t="s">
        <v>231</v>
      </c>
      <c r="H54" s="11"/>
    </row>
    <row r="55" spans="1:8" x14ac:dyDescent="0.35">
      <c r="A55" s="31"/>
      <c r="B55" s="33"/>
      <c r="C55" s="33"/>
      <c r="D55" s="33"/>
      <c r="E55" s="33"/>
      <c r="F55" s="33"/>
      <c r="G55" s="247" t="s">
        <v>232</v>
      </c>
      <c r="H55" s="11"/>
    </row>
    <row r="56" spans="1:8" x14ac:dyDescent="0.35">
      <c r="A56" s="31"/>
      <c r="B56" s="33"/>
      <c r="C56" s="33"/>
      <c r="D56" s="33"/>
      <c r="E56" s="33"/>
      <c r="F56" s="33"/>
      <c r="G56" s="247" t="s">
        <v>233</v>
      </c>
      <c r="H56" s="11"/>
    </row>
    <row r="57" spans="1:8" x14ac:dyDescent="0.35">
      <c r="A57" s="31"/>
      <c r="B57" s="33"/>
      <c r="C57" s="33"/>
      <c r="D57" s="33"/>
      <c r="E57" s="33"/>
      <c r="F57" s="33"/>
      <c r="G57" s="247" t="s">
        <v>234</v>
      </c>
      <c r="H57" s="11"/>
    </row>
    <row r="58" spans="1:8" x14ac:dyDescent="0.35">
      <c r="A58" s="31"/>
      <c r="B58" s="33"/>
      <c r="C58" s="33"/>
      <c r="D58" s="33"/>
      <c r="E58" s="33"/>
      <c r="F58" s="33"/>
      <c r="G58" s="247" t="s">
        <v>235</v>
      </c>
      <c r="H58" s="11"/>
    </row>
    <row r="59" spans="1:8" x14ac:dyDescent="0.35">
      <c r="A59" s="31"/>
      <c r="B59" s="33"/>
      <c r="C59" s="33"/>
      <c r="D59" s="33"/>
      <c r="E59" s="33"/>
      <c r="F59" s="33"/>
      <c r="G59" s="247" t="s">
        <v>236</v>
      </c>
      <c r="H59" s="11"/>
    </row>
    <row r="60" spans="1:8" ht="15" thickBot="1" x14ac:dyDescent="0.4">
      <c r="A60" s="229"/>
      <c r="B60" s="249"/>
      <c r="C60" s="249"/>
      <c r="D60" s="249"/>
      <c r="E60" s="249"/>
      <c r="F60" s="249"/>
      <c r="G60" s="249"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2025-10-07T10:28:27Z</dcterms:modified>
</cp:coreProperties>
</file>